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Change Log" sheetId="3" state="visible" r:id="rId5"/>
    <sheet name="Historicals" sheetId="4" state="visible" r:id="rId6"/>
    <sheet name="Inputs" sheetId="5" state="visible" r:id="rId7"/>
    <sheet name="Bear" sheetId="6" state="visible" r:id="rId8"/>
    <sheet name="Base" sheetId="7" state="visible" r:id="rId9"/>
    <sheet name="Bull" sheetId="8" state="visible" r:id="rId10"/>
    <sheet name="S1" sheetId="9" state="visible" r:id="rId11"/>
    <sheet name="S2" sheetId="10" state="visible" r:id="rId12"/>
    <sheet name="S3" sheetId="11" state="visible" r:id="rId13"/>
    <sheet name="S4" sheetId="12" state="visible" r:id="rId14"/>
    <sheet name="S5" sheetId="13" state="visible" r:id="rId15"/>
    <sheet name="S6" sheetId="14" state="visible" r:id="rId16"/>
    <sheet name="T21" sheetId="15" state="visible" r:id="rId17"/>
    <sheet name="T25" sheetId="16" state="visible" r:id="rId18"/>
    <sheet name="T28" sheetId="17" state="visible" r:id="rId19"/>
    <sheet name="S7" sheetId="18" state="visible" r:id="rId20"/>
    <sheet name="Stress Tests" sheetId="19" state="visible" r:id="rId21"/>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B45" authorId="0">
      <text>
        <r>
          <rPr>
            <sz val="10"/>
            <rFont val="Arial"/>
            <family val="2"/>
          </rPr>
          <t xml:space="preserve">Derived: S-1 total other income (expense) of $(978)M less interest income and fair value change.</t>
        </r>
      </text>
    </comment>
    <comment ref="B66" authorId="0">
      <text>
        <r>
          <rPr>
            <sz val="10"/>
            <rFont val="Arial"/>
            <family val="2"/>
          </rPr>
          <t xml:space="preserve">S-1 risk factors: revenue increased from $197 million for the three months ended December 31, 2024 (verified in filing text).</t>
        </r>
      </text>
    </comment>
    <comment ref="B67" authorId="0">
      <text>
        <r>
          <rPr>
            <sz val="10"/>
            <rFont val="Arial"/>
            <family val="2"/>
          </rPr>
          <t xml:space="preserve">S-1 Business section: Q3 2026 revenue was 86 times Q4 2024 revenue (verified in filing text). Dollar figure left blank in filing.</t>
        </r>
      </text>
    </comment>
    <comment ref="C55" authorId="0">
      <text>
        <r>
          <rPr>
            <sz val="10"/>
            <rFont val="Arial"/>
            <family val="2"/>
          </rPr>
          <t xml:space="preserve">S-1 as reported by Cape Fear Advisors and PPC Land. Marketplace sales are booked gross; partner fees sit in sales, marketing &amp; partnerships.</t>
        </r>
      </text>
    </comment>
    <comment ref="D55" authorId="0">
      <text>
        <r>
          <rPr>
            <sz val="10"/>
            <rFont val="Arial"/>
            <family val="2"/>
          </rPr>
          <t xml:space="preserve">S-1 as reported by Cape Fear Advisors and PPC Land. Marketplace sales are booked gross; partner fees sit in sales, marketing &amp; partnerships.</t>
        </r>
      </text>
    </comment>
    <comment ref="F55" authorId="0">
      <text>
        <r>
          <rPr>
            <sz val="10"/>
            <rFont val="Arial"/>
            <family val="2"/>
          </rPr>
          <t xml:space="preserve">S-1 as reported by Cape Fear Advisors and PPC Land. Marketplace sales are booked gross; partner fees sit in sales, marketing &amp; partnerships.</t>
        </r>
      </text>
    </comment>
    <comment ref="G19" authorId="0">
      <text>
        <r>
          <rPr>
            <sz val="10"/>
            <rFont val="Arial"/>
            <family val="2"/>
          </rPr>
          <t xml:space="preserve">S-1 quarterly Adjusted Operating Income reconciliation: $1,261M (the income statement footnote rounds to $1.3 billion).</t>
        </r>
      </text>
    </comment>
  </commentList>
</comments>
</file>

<file path=xl/sharedStrings.xml><?xml version="1.0" encoding="utf-8"?>
<sst xmlns="http://schemas.openxmlformats.org/spreadsheetml/2006/main" count="3476" uniqueCount="720">
  <si>
    <t xml:space="preserve">Anthropic (ANT) IPO Valuation — Hybrid Business Model</t>
  </si>
  <si>
    <t xml:space="preserve">Prepared by Mike Ye  |  mikeye.com  |  Version 1.3.1, October 26, 2026  |  Reviewed over three rounds with an independent AI audit (Ella) and revised</t>
  </si>
  <si>
    <t xml:space="preserve">WHAT THIS IS</t>
  </si>
  <si>
    <t xml:space="preserve">A scenario valuation of Anthropic built from its public S-1. It values (1) the business as it exists today, pay-per-token plus subscriptions, and (2) a hybrid that adds a</t>
  </si>
  <si>
    <t xml:space="preserve">hypothetical third line where Anthropic takes a cut of measurable value Claude creates for partners. The question: can tokens and subscriptions alone support a $2T valuation?</t>
  </si>
  <si>
    <t xml:space="preserve">Reported facts, figures derived from the filing, and hypothetical assumptions are labeled separately.</t>
  </si>
  <si>
    <t xml:space="preserve">HOW TO USE IT</t>
  </si>
  <si>
    <t xml:space="preserve">Change yellow cells on Inputs and the model recalculates. Input checks at the bottom of Inputs reject invalid entries (negative costs, fractional depreciation lives,</t>
  </si>
  <si>
    <t xml:space="preserve">stock comp above personnel); loss-making scenarios are allowed and show 'Not meaningful' instead. The Summary shows the check result in cell A3.</t>
  </si>
  <si>
    <t xml:space="preserve">Color code: blue = typed in (reported or assumed); black = formula; green = link to another tab; yellow fill = assumption you can change.</t>
  </si>
  <si>
    <t xml:space="preserve">TABS</t>
  </si>
  <si>
    <t xml:space="preserve">Summary — results, linked limitations, value-share break-even tests, market check, $2T test, tax sensitivity.  Change Log — v1.2 to v1.3 changes and verification table.</t>
  </si>
  <si>
    <t xml:space="preserve">Historicals — S-1 financials and the H1 2026 cash flow bridge.  Inputs — assumptions, share bridge, tax settings, stress definitions, input checks.</t>
  </si>
  <si>
    <t xml:space="preserve">Bear / Base / Bull — valuation cases. S1-S7 — stress tests. T21 / T25 / T28 — flat tax-rate sensitivities. Stress Tests — side-by-side stress results.</t>
  </si>
  <si>
    <t xml:space="preserve">METHOD</t>
  </si>
  <si>
    <t xml:space="preserve">1. Revenue: 2026 = H1 2026 actual + Q3 2026 (86x Q4 2024, from the S-1) + an assumed Q4. 2027-2030 grow at assumed rates.</t>
  </si>
  <si>
    <t xml:space="preserve">2. Costs are built line by line. Compute grows on its own schedule (the S-1 says it is bought 12-18 months ahead and largely fixed). Bear grows compute with revenue,</t>
  </si>
  <si>
    <t xml:space="preserve">   so the stress tests carry the demand-versus-capacity risk. S2 raises total compute spending 20% from 2027 on; 2026 is unchanged.</t>
  </si>
  <si>
    <t xml:space="preserve">3. Three measures: earnings (after stock comp and depreciation; P/E method), actual cash flow (adds back non-cash stock comp and share-settled donations, includes</t>
  </si>
  <si>
    <t xml:space="preserve">   interest; cash roll-forward and funding), and economic cash flow (compensation charged once, interest excluded; valuation).</t>
  </si>
  <si>
    <t xml:space="preserve">4. Compute is forecast as cash spending. The Broadcom equipment leases are finance leases under the S-1 (about $161.2B of rent over five years, payable quarterly once</t>
  </si>
  <si>
    <t xml:space="preserve">   equipment is ready for service), but the payment timing is incomplete, so lease rent is treated as compute spending when incurred. Commitments are not deducted as debt.</t>
  </si>
  <si>
    <t xml:space="preserve">   Owned capacity (capex) is depreciated by vintage over the chosen life; depreciation reduces earnings and taxes, and capex is the cash cost.</t>
  </si>
  <si>
    <t xml:space="preserve">5. Prepaid compute (stress S7): paid at the start of 2027; credits are scheduled over three years but capped by eligible compute charges and the remaining balance,</t>
  </si>
  <si>
    <t xml:space="preserve">   with unused credits carried forward. Any balance left at end 2030 is counted as an asset (no refund assumed). The exit value excludes prepayment timing, and a</t>
  </si>
  <si>
    <t xml:space="preserve">   start-of-year payment is discounted from the start of its year (once, in the cash flows both valuation methods share).</t>
  </si>
  <si>
    <t xml:space="preserve">6. Taxes: federal NOLs of $8.2B (S-1) used up to 80% of taxable income at 21%; a state layer (72% of income at 6%, both assumptions) gives a mature combined rate of</t>
  </si>
  <si>
    <t xml:space="preserve">   24.41%; state NOLs of $4.2B (S-1) suspended in 2026. Taxable income is a proxy, not a tax return. The IPO RSU deduction is an input defaulting to zero.</t>
  </si>
  <si>
    <t xml:space="preserve">7. Value = 50/50 blend of (a) 2030 earnings x exit P/E plus discounted 2027-2030 economic cash flow, and (b) discounted 2027-2030 economic cash flow plus an exit multiple,</t>
  </si>
  <si>
    <t xml:space="preserve">   both discounted to end 2026, plus end-2026 cash. Both methods share the same forecasts, and about 90% of value sits in the post-2030 exit value.</t>
  </si>
  <si>
    <t xml:space="preserve">8. Validity: when 2030 earnings or cash flow are negative, or value is at or below zero, the model does not apply exit multiples or compute a share price; those</t>
  </si>
  <si>
    <t xml:space="preserve">   outputs show 'unresolved'. Raw calculated equity, 2030 cash flow and cash runway are shown on the Stress Tests tab as diagnostics only, not valuations.</t>
  </si>
  <si>
    <t xml:space="preserve">   No liquidation or cash-only shareholder recovery is modeled, because remaining obligations are not scheduled in the S-1.</t>
  </si>
  <si>
    <t xml:space="preserve">9. Funding: the cash roll-forward tracks the lowest cash in each year, including start-of-year payments. A shortfall below an assumed $5B operating cash buffer</t>
  </si>
  <si>
    <t xml:space="preserve">   ($0 shown as a sensitivity) is assumed raised as</t>
  </si>
  <si>
    <t xml:space="preserve">   equity at the start of that year, at a discount (15%; 0% and 30% shown) to the pre-funding value per share rolled forward to that date, plus 3% fees. A funded cash path</t>
  </si>
  <si>
    <t xml:space="preserve">   shows proceeds, interest on the funded balance after payments, and tax. The separate $5B minimum-liquidity covenant (S-1) is checked against year-end cash as a proxy; the covenant's definition of</t>
  </si>
  <si>
    <t xml:space="preserve">   liquidity is not in the S-1. Positive modeled value does not guarantee access to capital.</t>
  </si>
  <si>
    <t xml:space="preserve">10. Shares: June 30, 2026 fully diluted count (derived) + 846.8M Public Benefit issuance + ~91M post-June RSUs + ~28M October donation shares = 17,903M economic</t>
  </si>
  <si>
    <t xml:space="preserve">   shares. Further Public Benefit issuances (up to 2% per 50% price step, after 90 of 120 trading days, at board discretion) are approximated.</t>
  </si>
  <si>
    <t xml:space="preserve">11. Value-share line: entirely hypothetical. Three tests: operating contribution; cash after tax, capex and its depreciation tax shield (steady state, plus the same</t>
  </si>
  <si>
    <t xml:space="preserve">   test taken from the full 2030 build); and full value. Passing the first does not ensure the others.</t>
  </si>
  <si>
    <t xml:space="preserve">WHAT THE S-1 DOES NOT DISCLOSE (UNRESOLVED INPUTS)</t>
  </si>
  <si>
    <t xml:space="preserve">Compute commitment and finance-lease payment timing; revenue by model tier; a gross margin line; Q3 2026 detail beyond the 86x statement; offering size, price range and</t>
  </si>
  <si>
    <t xml:space="preserve">IPO shares; RSU withholding and the IPO tax deduction; state apportionment; the definition of 'fully diluted' (options/RSUs assumed included) and of covenant 'liquidity'.</t>
  </si>
  <si>
    <t xml:space="preserve">SOURCES</t>
  </si>
  <si>
    <t xml:space="preserve">Anthropic, PBC Form S-1, filed Oct 26, 2026 (SEC EDGAR CIK 2130357), checked directly: financial statements, cash flow, revenue split, share data, Public Benefit terms, Q4</t>
  </si>
  <si>
    <t xml:space="preserve">2024 revenue ($197M), the 86x Q3 statement, Q2 2026 stock comp ($1,261M, non-GAAP reconciliation), Note 17 (~91M RSUs, $2.0B Q3 donation charge, ~28M shares, $5.0B</t>
  </si>
  <si>
    <t xml:space="preserve">liquidity covenant), Broadcom finance leases (~$161.2B rent), NOLs ($8.2B federal, $4.2B state). Marketplace share of revenue: S-1 as reported by Cape Fear Advisors,</t>
  </si>
  <si>
    <t xml:space="preserve">PPC Land and Calcalist. Valuations under discussion: Reuters and Yahoo Finance, Oct 2026. California NOL suspension: KPMG, Wilson Sonsini and WilmerHale summaries.</t>
  </si>
  <si>
    <t xml:space="preserve">CALCULATION ENGINE</t>
  </si>
  <si>
    <t xml:space="preserve">All formulas recalculated with LibreOffice (headless); zero formula errors. Ella independently recalculated v1.2. Not verified in native Microsoft Excel.</t>
  </si>
  <si>
    <t xml:space="preserve">IMPORTANT</t>
  </si>
  <si>
    <t xml:space="preserve">For informational and educational purposes only. Not investment advice and not a recommendation to buy or sell any security. The S-1 is a preliminary prospectus and may change.</t>
  </si>
  <si>
    <t xml:space="preserve">Projections, scenarios, financing terms and the value-share business line are the author's assumptions, not company guidance; Anthropic has not disclosed any plan for such a line.</t>
  </si>
  <si>
    <t xml:space="preserve">Anthropic has not reviewed or endorsed this model. Do your own research.</t>
  </si>
  <si>
    <t xml:space="preserve">Anthropic (ANT) — IPO valuation: core business vs. hybrid business model (v1.3.1)</t>
  </si>
  <si>
    <t xml:space="preserve">Prepared by Mike Ye, mikeye.com. $ billions except per share. Change yellow cells on Inputs. Not investment advice — see Read Me.</t>
  </si>
  <si>
    <t xml:space="preserve">Valuation</t>
  </si>
  <si>
    <t xml:space="preserve">Bear</t>
  </si>
  <si>
    <t xml:space="preserve">Base</t>
  </si>
  <si>
    <t xml:space="preserve">Bull</t>
  </si>
  <si>
    <t xml:space="preserve">Weighted</t>
  </si>
  <si>
    <t xml:space="preserve">Value per share — hybrid</t>
  </si>
  <si>
    <t xml:space="preserve">Value per share — core only (tokens + subscriptions)</t>
  </si>
  <si>
    <t xml:space="preserve">Equity value — hybrid ($B)</t>
  </si>
  <si>
    <t xml:space="preserve">Equity value — core only ($B)</t>
  </si>
  <si>
    <t xml:space="preserve">Hybrid uplift vs. core</t>
  </si>
  <si>
    <t xml:space="preserve">Funding status (hybrid)</t>
  </si>
  <si>
    <t xml:space="preserve">Public Benefit issuance steps (hybrid)</t>
  </si>
  <si>
    <t xml:space="preserve">Exit value share of value — P/E / cash flow (hybrid)</t>
  </si>
  <si>
    <t xml:space="preserve">Probability</t>
  </si>
  <si>
    <t xml:space="preserve">Bull case share of weighted hybrid value per share</t>
  </si>
  <si>
    <t xml:space="preserve">Headline limitations (linked)</t>
  </si>
  <si>
    <t xml:space="preserve">Value</t>
  </si>
  <si>
    <t xml:space="preserve">Base hybrid value per share</t>
  </si>
  <si>
    <t xml:space="preserve">Combined-stress (S6) hybrid value per share</t>
  </si>
  <si>
    <t xml:space="preserve">Combined-stress funding status</t>
  </si>
  <si>
    <t xml:space="preserve">Flat-revenue stress (S1): cash at end 2030 and runway</t>
  </si>
  <si>
    <t xml:space="preserve">Base: exit value share of value (P/E method / cash flow method)</t>
  </si>
  <si>
    <t xml:space="preserve">Bull share of weighted value</t>
  </si>
  <si>
    <t xml:space="preserve">Both valuation methods use the same forecasts, so blending them is not independent confirmation. Most value sits in the post-2030 exit value.</t>
  </si>
  <si>
    <t xml:space="preserve">2030 snapshot</t>
  </si>
  <si>
    <t xml:space="preserve">Core revenue ($B)</t>
  </si>
  <si>
    <t xml:space="preserve">Hybrid total revenue ($B)</t>
  </si>
  <si>
    <t xml:space="preserve">Value-share revenue, gross ($B)</t>
  </si>
  <si>
    <t xml:space="preserve">Core operating margin (after stock comp &amp; depreciation)</t>
  </si>
  <si>
    <t xml:space="preserve">Hybrid operating margin</t>
  </si>
  <si>
    <t xml:space="preserve">Compute % of core revenue</t>
  </si>
  <si>
    <t xml:space="preserve">Effective tax rate (hybrid)</t>
  </si>
  <si>
    <t xml:space="preserve">Value created for partners ($B)</t>
  </si>
  <si>
    <t xml:space="preserve">Value created as % of $40T knowledge-work pool</t>
  </si>
  <si>
    <t xml:space="preserve">Value-share break-even tests (per $1 of revenue moved, 2030 steady state)</t>
  </si>
  <si>
    <t xml:space="preserve">1. Operating: contribution per $1 moved</t>
  </si>
  <si>
    <t xml:space="preserve">2. Cash: after tax, capex and its depreciation tax shield, per $1 moved (steady state)</t>
  </si>
  <si>
    <t xml:space="preserve">3. Value: hybrid equity less core equity ($B)</t>
  </si>
  <si>
    <t xml:space="preserve">Minimum cut to pass operating test</t>
  </si>
  <si>
    <t xml:space="preserve">Minimum cut to pass cash test</t>
  </si>
  <si>
    <t xml:space="preserve">Cut assumed</t>
  </si>
  <si>
    <t xml:space="preserve">Test 2 assumes steady state, where depreciation equals capex, so the tax shield offsets tax on depreciation; the row below is the same test taken from the full 2030 build (includes growth timing and depreciation lags). Test 3 is the full model. All value-share inputs are hypothetical.</t>
  </si>
  <si>
    <t xml:space="preserve">2b. Cash test from the full model: 2030 incremental economic cash flow per $1 moved</t>
  </si>
  <si>
    <t xml:space="preserve">Market check</t>
  </si>
  <si>
    <t xml:space="preserve">Reference</t>
  </si>
  <si>
    <t xml:space="preserve">Target</t>
  </si>
  <si>
    <t xml:space="preserve">Valuation ($B)</t>
  </si>
  <si>
    <t xml:space="preserve">Implied price per share (economic shares, before Public Benefit steps)</t>
  </si>
  <si>
    <t xml:space="preserve">Upside / (downside): weighted hybrid value</t>
  </si>
  <si>
    <t xml:space="preserve">Upside / (downside): base hybrid value</t>
  </si>
  <si>
    <t xml:space="preserve">Upside / (downside): base core-only value</t>
  </si>
  <si>
    <t xml:space="preserve">Can the base case reach the target?</t>
  </si>
  <si>
    <t xml:space="preserve">Target valuation ($B)</t>
  </si>
  <si>
    <t xml:space="preserve">Base hybrid equity value ($B)</t>
  </si>
  <si>
    <t xml:space="preserve">Gap to target ($B)</t>
  </si>
  <si>
    <t xml:space="preserve">Value added by the value-share line, base case ($B)</t>
  </si>
  <si>
    <t xml:space="preserve">Value-share adoption needed, as a multiple of base-case adoption</t>
  </si>
  <si>
    <t xml:space="preserve">Implied 2030 share of revenue base on value-share</t>
  </si>
  <si>
    <t xml:space="preserve">  Base-case 2030 share, for comparison</t>
  </si>
  <si>
    <t xml:space="preserve">Solve is exact under current inputs?</t>
  </si>
  <si>
    <t xml:space="preserve">Exact when tax losses are used up by end 2027 on both paths, no funding is needed and profits stay positive: value-share value then scales in proportion to adoption. Public Benefit steps affect per-share values only.</t>
  </si>
  <si>
    <t xml:space="preserve">Tax sensitivity: base case value per share</t>
  </si>
  <si>
    <t xml:space="preserve">Detailed (NOL + state)</t>
  </si>
  <si>
    <t xml:space="preserve">Flat 21%</t>
  </si>
  <si>
    <t xml:space="preserve">Flat 25%</t>
  </si>
  <si>
    <t xml:space="preserve">Flat 28%</t>
  </si>
  <si>
    <t xml:space="preserve">Hybrid</t>
  </si>
  <si>
    <t xml:space="preserve">Core only</t>
  </si>
  <si>
    <t xml:space="preserve">Flat rates ignore tax losses; they bracket the combined federal + state rate. The state allocation is an assumption, not company disclosure.</t>
  </si>
  <si>
    <t xml:space="preserve">Where the business is today (Q2 2026 actual)</t>
  </si>
  <si>
    <t xml:space="preserve">Quarterly revenue ($B)</t>
  </si>
  <si>
    <t xml:space="preserve">Operating margin</t>
  </si>
  <si>
    <t xml:space="preserve">Operating margin before stock comp</t>
  </si>
  <si>
    <t xml:space="preserve">Compute % of revenue</t>
  </si>
  <si>
    <t xml:space="preserve">H1 2026 free cash flow margin (reported, before stock comp)</t>
  </si>
  <si>
    <t xml:space="preserve">Revenue added in Q2 2026 vs Q1 ($B)</t>
  </si>
  <si>
    <t xml:space="preserve">Revenue added in Q3 2026 vs Q2 ($B, implied)</t>
  </si>
  <si>
    <t xml:space="preserve">Change log: v1.2 to v1.3, plus the v1.3.1 patch</t>
  </si>
  <si>
    <t xml:space="preserve">v1.1 and v1.2 are preserved as separate files. Cell references point to the Base tab unless noted; the same rows exist on every case tab.</t>
  </si>
  <si>
    <t xml:space="preserve">v1.3.1 patch (narrow; no commercial assumptions changed)</t>
  </si>
  <si>
    <t xml:space="preserve">Where</t>
  </si>
  <si>
    <t xml:space="preserve">Start-of-year payments now discounted from the start of their year: removes a ~$21.4B overstatement of the $200B S7 prepayment's present value (once, in the shared cash flows)</t>
  </si>
  <si>
    <t xml:space="preserve">Base!F167:G167</t>
  </si>
  <si>
    <t xml:space="preserve">Funded-path interest now earned on the funded balance after start-of-year payments (S7 2027: zero, since the payment consumes opening cash plus proceeds); taxes reconciled</t>
  </si>
  <si>
    <t xml:space="preserve">Base!C154:G155</t>
  </si>
  <si>
    <t xml:space="preserve">Default shortfall threshold set to an assumed $5B operating cash buffer ($0 kept as a sensitivity row); the $5B covenant check stays separate</t>
  </si>
  <si>
    <t xml:space="preserve">Inputs!B29; Base!G147</t>
  </si>
  <si>
    <t xml:space="preserve">Summary title updated to v1.3.1</t>
  </si>
  <si>
    <t xml:space="preserve">Summary!A1</t>
  </si>
  <si>
    <t xml:space="preserve">1. Source corrections</t>
  </si>
  <si>
    <t xml:space="preserve">Q2 2026 stock comp: $1,261M from the non-GAAP reconciliation replaces the rounded $1.3B. Lowers the H2 2026 stock comp ratio and end-2026 cash by ~$0.1B</t>
  </si>
  <si>
    <t xml:space="preserve">Historicals!G19</t>
  </si>
  <si>
    <t xml:space="preserve">Broadcom equipment leases identified as finance leases (~$161.2B rent, 5 years, quarterly from ready-for-service); payment timing still incomplete</t>
  </si>
  <si>
    <t xml:space="preserve">Read Me method 4</t>
  </si>
  <si>
    <t xml:space="preserve">$5.0B minimum-liquidity covenant (A&amp;R Credit Agreement, quarter-ends from Q4 2026) added as a separate check from the cash-shortfall threshold; definition not in the S-1</t>
  </si>
  <si>
    <t xml:space="preserve">Inputs!B38; Base!C144:G144</t>
  </si>
  <si>
    <t xml:space="preserve">2. Formula corrections</t>
  </si>
  <si>
    <t xml:space="preserve">Depreciation now by vintage: each year's capex is depreciated only within its useful life (fixes lives under 5 years)</t>
  </si>
  <si>
    <t xml:space="preserve">Base!C52:G52, C108:G108</t>
  </si>
  <si>
    <t xml:space="preserve">Funding need uses the lowest cash in each year, including start-of-year payments, not just year-end balances</t>
  </si>
  <si>
    <t xml:space="preserve">Base!C142:G146</t>
  </si>
  <si>
    <t xml:space="preserve">Interest is earned on opening cash less start-of-year payments</t>
  </si>
  <si>
    <t xml:space="preserve">Base!C111:G111</t>
  </si>
  <si>
    <t xml:space="preserve">Funded cash path added: financing year, net proceeds, fees, gross raise, extra interest and tax, funded closing and lowest cash</t>
  </si>
  <si>
    <t xml:space="preserve">Base!C148:G158</t>
  </si>
  <si>
    <t xml:space="preserve">Issue price aligned to the financing date (pre-funding value rolled forward at the discount rate); proceeds discounted from that date</t>
  </si>
  <si>
    <t xml:space="preserve">Base!F184:G186</t>
  </si>
  <si>
    <t xml:space="preserve">Prepaid compute roll-forward: credits capped by eligible charges and balance, unused credits carried forward; any end-2030 balance counted as a discounted asset</t>
  </si>
  <si>
    <t xml:space="preserve">Base!C40:G46; F175:G175</t>
  </si>
  <si>
    <t xml:space="preserve">Invalid valuations suppressed: 'Equity value, no new funding' shows 'unresolved' unless valid; raw equity, 2030 cash flow and runway moved to labeled diagnostic rows</t>
  </si>
  <si>
    <t xml:space="preserve">Base!F177:G177; Stress Tests rows 10, 22-24</t>
  </si>
  <si>
    <t xml:space="preserve">Cash break-even test now includes the depreciation tax shield (steady state: depreciation equals capex) and a second version taken from the full 2030 build</t>
  </si>
  <si>
    <t xml:space="preserve">Summary!A38:D44</t>
  </si>
  <si>
    <t xml:space="preserve">Input checks extended: negative cost ratios, stock comp above personnel, growth at or below -100%, fractional depreciation lives, negative share inputs, prepaid settings</t>
  </si>
  <si>
    <t xml:space="preserve">Inputs!A108:C131</t>
  </si>
  <si>
    <t xml:space="preserve">3. Assumption and definition changes</t>
  </si>
  <si>
    <t xml:space="preserve">S2 now raises total compute spending 20% from 2027 on (2027 compute growth 70% -&gt; 104%; H2 2026 ratio kept at 45%). Previously only the H2 2026 ratio was raised (+13% by 2030)</t>
  </si>
  <si>
    <t xml:space="preserve">Inputs!H66, H67</t>
  </si>
  <si>
    <t xml:space="preserve">S6 uses the same compute convention (2027 growth (1 + base) x 1.2 - 1), with half growth, multiples -25% and discount +2 points</t>
  </si>
  <si>
    <t xml:space="preserve">Inputs!L67</t>
  </si>
  <si>
    <t xml:space="preserve">S7 prepayment now paid at the start of 2027; credits follow the roll-forward (three-year schedule, 100% of compute eligible)</t>
  </si>
  <si>
    <t xml:space="preserve">Inputs!P92; Inputs!B39:B40</t>
  </si>
  <si>
    <t xml:space="preserve">No Bear, Base or Bull commercial assumption changed</t>
  </si>
  <si>
    <t xml:space="preserve">—</t>
  </si>
  <si>
    <t xml:space="preserve">Verification (LibreOffice recalculation)</t>
  </si>
  <si>
    <t xml:space="preserve">Expected</t>
  </si>
  <si>
    <t xml:space="preserve">Result</t>
  </si>
  <si>
    <t xml:space="preserve">Status</t>
  </si>
  <si>
    <t xml:space="preserve">S7 funded value per share, base discount (Ella: ~$83.97 at $0 buffer; ~$83.89 at the $5B buffer)</t>
  </si>
  <si>
    <t xml:space="preserve">~$83.9</t>
  </si>
  <si>
    <t xml:space="preserve">S7 peak funding need with $5B buffer ($B) (Ella: ~$64.68B)</t>
  </si>
  <si>
    <t xml:space="preserve">~64.68</t>
  </si>
  <si>
    <t xml:space="preserve">S7 peak need with $0 buffer ($B) (Ella: $59.68B)</t>
  </si>
  <si>
    <t xml:space="preserve">59.68</t>
  </si>
  <si>
    <t xml:space="preserve">S7 2027 interest change on funded path ($B)</t>
  </si>
  <si>
    <t xml:space="preserve">0 at $0 buffer</t>
  </si>
  <si>
    <t xml:space="preserve">Base hybrid value per share (v1.2: $87.84; change from Q2 stock comp only)</t>
  </si>
  <si>
    <t xml:space="preserve">~$87.84</t>
  </si>
  <si>
    <t xml:space="preserve">Base core value per share (v1.2: $76.40)</t>
  </si>
  <si>
    <t xml:space="preserve">~$76.40</t>
  </si>
  <si>
    <t xml:space="preserve">Weighted hybrid value per share (v1.2: $134.00)</t>
  </si>
  <si>
    <t xml:space="preserve">~$134.00</t>
  </si>
  <si>
    <t xml:space="preserve">S2 hybrid value per share (Ella checkpoint $70.46)</t>
  </si>
  <si>
    <t xml:space="preserve">$70.46</t>
  </si>
  <si>
    <t xml:space="preserve">S2 2030 compute vs Base</t>
  </si>
  <si>
    <t xml:space="preserve">+20.0%</t>
  </si>
  <si>
    <t xml:space="preserve">S2 2026 compute equals Base</t>
  </si>
  <si>
    <t xml:space="preserve">equal</t>
  </si>
  <si>
    <t xml:space="preserve">S7 peak need at start of 2027 = $200B less opening cash + $5B buffer ($B)</t>
  </si>
  <si>
    <t xml:space="preserve">~64.7</t>
  </si>
  <si>
    <t xml:space="preserve">S7 funded path never below threshold</t>
  </si>
  <si>
    <t xml:space="preserve">Yes</t>
  </si>
  <si>
    <t xml:space="preserve">S7 prepaid fully credited by 2030 (closing balance, $B)</t>
  </si>
  <si>
    <t xml:space="preserve">0</t>
  </si>
  <si>
    <t xml:space="preserve">S7 2028 credits capped at eligible compute ($B)</t>
  </si>
  <si>
    <t xml:space="preserve">equals 2028 compute</t>
  </si>
  <si>
    <t xml:space="preserve">Zero value-share adoption: hybrid less core equity, Bear/Base/Bull ($B)</t>
  </si>
  <si>
    <t xml:space="preserve">0 / 0 / 0</t>
  </si>
  <si>
    <t xml:space="preserve">0.0 / 0.0 / 0.0</t>
  </si>
  <si>
    <t xml:space="preserve">Pass</t>
  </si>
  <si>
    <t xml:space="preserve">Vintage depreciation vs independent calculation, lives 1 / 2 / 3 / 5 (max difference)</t>
  </si>
  <si>
    <t xml:space="preserve">0e+00 / 0e+00 / 9e-13 / 1e-13</t>
  </si>
  <si>
    <t xml:space="preserve">Base hybrid per share at lives 1 / 2 / 3 / 5</t>
  </si>
  <si>
    <t xml:space="preserve">$85.9 / $86.34 / $86.78 / $87.83</t>
  </si>
  <si>
    <t xml:space="preserve">Info</t>
  </si>
  <si>
    <t xml:space="preserve">Fractional depreciation life (2.5)</t>
  </si>
  <si>
    <t xml:space="preserve">warning</t>
  </si>
  <si>
    <t xml:space="preserve">CHECK INPUTS: results may be invalid</t>
  </si>
  <si>
    <t xml:space="preserve">Negative cost ratio input</t>
  </si>
  <si>
    <t xml:space="preserve">warning; weighted blocked</t>
  </si>
  <si>
    <t xml:space="preserve">CHECK INPUTS: results may be invalid; check inputs</t>
  </si>
  <si>
    <t xml:space="preserve">Stock comp above personnel</t>
  </si>
  <si>
    <t xml:space="preserve">Legitimate loss scenario (2027 growth -30%)</t>
  </si>
  <si>
    <t xml:space="preserve">no warning; 'Not meaningful'</t>
  </si>
  <si>
    <t xml:space="preserve">All input checks passed; Not meaningful: 2030 earnings or cash flow negative</t>
  </si>
  <si>
    <t xml:space="preserve">S7 funded value per share at 0% / 15% / 30% discount</t>
  </si>
  <si>
    <t xml:space="preserve">decreasing</t>
  </si>
  <si>
    <t xml:space="preserve">$84.54 / $83.91 / $83.04</t>
  </si>
  <si>
    <t xml:space="preserve">Static rows were measured by recalculating copies of v1.3 with the stated inputs; live rows recalculate with the workbook.</t>
  </si>
  <si>
    <t xml:space="preserve">S7 note: the raise is sized to the assumed $5B operating cash buffer, so the funded start-of-year low is $5B. The $5B covenant check remains separate because its liquidity definition may differ from cash.</t>
  </si>
  <si>
    <t xml:space="preserve">Outputs that changed: Base, Bear and Bull move by under $0.01 per share (Q2 stock comp correction only); S2 falls from $76.29 to $70.46 and S6 stays unresolved (true +20% compute); S7 need rises from $33.0B to $59.7B (start-of-year timing), with value $85.16 vs $85.47.</t>
  </si>
  <si>
    <t xml:space="preserve">Historical financials from the S-1 ($ millions)</t>
  </si>
  <si>
    <t xml:space="preserve">Source: Anthropic, PBC Form S-1, filed Oct 26, 2026 (SEC EDGAR CIK 2130357). Blue = reported figure. Black = formula.</t>
  </si>
  <si>
    <t xml:space="preserve">Quarterly income statement</t>
  </si>
  <si>
    <t xml:space="preserve">Q1 2025</t>
  </si>
  <si>
    <t xml:space="preserve">Q2 2025</t>
  </si>
  <si>
    <t xml:space="preserve">Q3 2025</t>
  </si>
  <si>
    <t xml:space="preserve">Q4 2025</t>
  </si>
  <si>
    <t xml:space="preserve">Q1 2026</t>
  </si>
  <si>
    <t xml:space="preserve">Q2 2026</t>
  </si>
  <si>
    <t xml:space="preserve">Q3 2026 (implied)</t>
  </si>
  <si>
    <t xml:space="preserve">Revenue</t>
  </si>
  <si>
    <t xml:space="preserve">Compute and infrastructure</t>
  </si>
  <si>
    <t xml:space="preserve">Personnel (incl. stock comp)</t>
  </si>
  <si>
    <t xml:space="preserve">Bartz settlement (one-time)</t>
  </si>
  <si>
    <t xml:space="preserve">Sales, marketing, and partnerships</t>
  </si>
  <si>
    <t xml:space="preserve">Other operating and administrative</t>
  </si>
  <si>
    <t xml:space="preserve">Total operating expenses</t>
  </si>
  <si>
    <t xml:space="preserve">Operating income (loss)</t>
  </si>
  <si>
    <t xml:space="preserve">Interest income</t>
  </si>
  <si>
    <t xml:space="preserve">Change in fair value of convertible notes etc. (non-cash)</t>
  </si>
  <si>
    <t xml:space="preserve">Other income (expense), net</t>
  </si>
  <si>
    <t xml:space="preserve">Loss before income taxes</t>
  </si>
  <si>
    <t xml:space="preserve">Provision for income taxes</t>
  </si>
  <si>
    <t xml:space="preserve">Net income (loss)</t>
  </si>
  <si>
    <t xml:space="preserve">Stock-based compensation (non-GAAP reconciliation)</t>
  </si>
  <si>
    <t xml:space="preserve">Operating income before stock comp</t>
  </si>
  <si>
    <t xml:space="preserve">Quarterly ratios</t>
  </si>
  <si>
    <t xml:space="preserve">Personnel % of revenue</t>
  </si>
  <si>
    <t xml:space="preserve">Sales, marketing &amp; partnerships % of revenue</t>
  </si>
  <si>
    <t xml:space="preserve">Other opex % of revenue</t>
  </si>
  <si>
    <t xml:space="preserve">Stock comp % of revenue</t>
  </si>
  <si>
    <t xml:space="preserve">Revenue growth vs prior quarter</t>
  </si>
  <si>
    <t xml:space="preserve">Revenue added vs prior quarter ($mm)</t>
  </si>
  <si>
    <t xml:space="preserve">Check: Q1+Q2 2026 revenue less H1 2026 (should be 0)</t>
  </si>
  <si>
    <t xml:space="preserve">Check: 2025 quarters less 2025 revenue (should be 0)</t>
  </si>
  <si>
    <t xml:space="preserve">Annual &amp; half-year income statement</t>
  </si>
  <si>
    <t xml:space="preserve">2023</t>
  </si>
  <si>
    <t xml:space="preserve">2024</t>
  </si>
  <si>
    <t xml:space="preserve">2025</t>
  </si>
  <si>
    <t xml:space="preserve">H1 2025</t>
  </si>
  <si>
    <t xml:space="preserve">H1 2026</t>
  </si>
  <si>
    <t xml:space="preserve">Stock-based compensation (cash flow statement)</t>
  </si>
  <si>
    <t xml:space="preserve">Quarterly stock comp (row 19) is from the non-GAAP reconciliation; this row is from the cash flow statement. They differ slightly.</t>
  </si>
  <si>
    <t xml:space="preserve">Consumption-based revenue</t>
  </si>
  <si>
    <t xml:space="preserve">Subscription-based revenue</t>
  </si>
  <si>
    <t xml:space="preserve">Check: revenue split ties (should be 0)</t>
  </si>
  <si>
    <t xml:space="preserve">United States revenue</t>
  </si>
  <si>
    <t xml:space="preserve">International revenue</t>
  </si>
  <si>
    <t xml:space="preserve">Cloud marketplace share of revenue</t>
  </si>
  <si>
    <t xml:space="preserve">Cash flow</t>
  </si>
  <si>
    <t xml:space="preserve">Net cash from operating activities</t>
  </si>
  <si>
    <t xml:space="preserve">Purchases of property &amp; equipment</t>
  </si>
  <si>
    <t xml:space="preserve">Free cash flow (reported basis)</t>
  </si>
  <si>
    <t xml:space="preserve">Free cash flow margin (before stock comp)</t>
  </si>
  <si>
    <t xml:space="preserve">Free cash flow less stock comp</t>
  </si>
  <si>
    <t xml:space="preserve">Q3 2026 derivation</t>
  </si>
  <si>
    <t xml:space="preserve">Q4 2024 revenue ($mm)</t>
  </si>
  <si>
    <t xml:space="preserve">Q3 2026 revenue as multiple of Q4 2024</t>
  </si>
  <si>
    <t xml:space="preserve">Cash, equivalents &amp; short-term investments, Jun 30, 2026</t>
  </si>
  <si>
    <t xml:space="preserve">H1 2026 cash flow bridge ($mm)</t>
  </si>
  <si>
    <t xml:space="preserve">Source / note</t>
  </si>
  <si>
    <t xml:space="preserve">Income statement</t>
  </si>
  <si>
    <t xml:space="preserve">+ Interest income</t>
  </si>
  <si>
    <t xml:space="preserve">- Income taxes</t>
  </si>
  <si>
    <t xml:space="preserve">- Capital spending</t>
  </si>
  <si>
    <t xml:space="preserve">Cash flow statement</t>
  </si>
  <si>
    <t xml:space="preserve">Subtotal: model comparator: earnings minus capex (after stock comp)</t>
  </si>
  <si>
    <t xml:space="preserve">Basis v1.1 used for the H2 2026 cash build</t>
  </si>
  <si>
    <t xml:space="preserve">+ Stock-based compensation (non-cash)</t>
  </si>
  <si>
    <t xml:space="preserve">+ Donation-matching charge (non-cash, share-settled)</t>
  </si>
  <si>
    <t xml:space="preserve">Cash flow statement: donation matching program liability</t>
  </si>
  <si>
    <t xml:space="preserve">Subtotal: model liquidity basis (no D&amp;A, no working capital)</t>
  </si>
  <si>
    <t xml:space="preserve">Basis used for the H2 2026 cash roll-forward in v1.2</t>
  </si>
  <si>
    <t xml:space="preserve">+ Depreciation &amp; amortization</t>
  </si>
  <si>
    <t xml:space="preserve">+ Other financial items, net of non-cash portion</t>
  </si>
  <si>
    <t xml:space="preserve">Other expense of $(8,757)M less $8,720M non-cash recognition of other financial instruments</t>
  </si>
  <si>
    <t xml:space="preserve">+ Other operating adjustments</t>
  </si>
  <si>
    <t xml:space="preserve">+ Working capital changes</t>
  </si>
  <si>
    <t xml:space="preserve">Receivables, prepaids, payables, leases, deferred revenue</t>
  </si>
  <si>
    <t xml:space="preserve">Total: free cash flow (reported basis)</t>
  </si>
  <si>
    <t xml:space="preserve">Should equal Free cash flow above</t>
  </si>
  <si>
    <t xml:space="preserve">Check: bridge vs reported (should be 0)</t>
  </si>
  <si>
    <t xml:space="preserve">Memo: free cash flow less stock comp</t>
  </si>
  <si>
    <t xml:space="preserve">Reported free cash flow less stock comp; differs from row 76 by donation, D&amp;A, other items and working capital</t>
  </si>
  <si>
    <t xml:space="preserve">Assumptions</t>
  </si>
  <si>
    <t xml:space="preserve">Blue = input. Yellow = key assumption you can change. Green = link to another tab. Black = formula. Input checks are at the bottom of this tab.</t>
  </si>
  <si>
    <t xml:space="preserve">Shared settings</t>
  </si>
  <si>
    <t xml:space="preserve">Note</t>
  </si>
  <si>
    <t xml:space="preserve">Q3 2026 revenue (implied, $mm)</t>
  </si>
  <si>
    <t xml:space="preserve">S-1: Q3 2026 revenue was 86x Q4 2024 ($197M). Company separately told investors $16.8B</t>
  </si>
  <si>
    <t xml:space="preserve">Cash, equivalents &amp; short-term investments, Jun 30, 2026 ($mm)</t>
  </si>
  <si>
    <t xml:space="preserve">S-1 balance sheet</t>
  </si>
  <si>
    <t xml:space="preserve">Initial Public Benefit Fund issuance (shares)</t>
  </si>
  <si>
    <t xml:space="preserve">S-1: 846,840,960 Class N shares contributed to the Anthropic Public Benefit Fund (Oct 2026)</t>
  </si>
  <si>
    <t xml:space="preserve">Issuance as % of June 30 fully diluted shares</t>
  </si>
  <si>
    <t xml:space="preserve">S-1: 5% of fully diluted shares as of June 30, 2026, assuming full conversion of the Amazon notes</t>
  </si>
  <si>
    <t xml:space="preserve">June 30, 2026 fully diluted shares (mm)</t>
  </si>
  <si>
    <t xml:space="preserve">Derived. Assumes this count includes options and RSUs outstanding at June 30 (definition not stated in the S-1). Excludes the Fund issuance</t>
  </si>
  <si>
    <t xml:space="preserve">Count the Fund issuance in economic shares? (1 = yes)</t>
  </si>
  <si>
    <t xml:space="preserve">Held by a wholly owned subsidiary, so not outstanding for accounting; may be donated or sold, so counted as economic dilution</t>
  </si>
  <si>
    <t xml:space="preserve">RSUs granted after June 30, 2026 (mm)</t>
  </si>
  <si>
    <t xml:space="preserve">S-1 Note 17: ~91M RSUs, grant-date fair value $5.8B, vest over 4 years; performance condition met at IPO</t>
  </si>
  <si>
    <t xml:space="preserve">Count post-June RSUs in economic shares? (1 = yes)</t>
  </si>
  <si>
    <t xml:space="preserve">Counted as granted awards. Partial overlap: their future expense is also inside forecast stock comp</t>
  </si>
  <si>
    <t xml:space="preserve">October 2026 donation-matching shares (mm)</t>
  </si>
  <si>
    <t xml:space="preserve">S-1 Note 17: ~28.0M Class N shares issued to settle the Q3 2026 donation-matching obligation</t>
  </si>
  <si>
    <t xml:space="preserve">RSU shares withheld for taxes at IPO (mm)</t>
  </si>
  <si>
    <t xml:space="preserve">Blank in S-1. Net settlement reduces shares but costs cash (see next rows)</t>
  </si>
  <si>
    <t xml:space="preserve">Primary IPO proceeds to company ($mm)</t>
  </si>
  <si>
    <t xml:space="preserve">Blank in S-1. Update from price-range amendment</t>
  </si>
  <si>
    <t xml:space="preserve">New shares issued in IPO (mm)</t>
  </si>
  <si>
    <t xml:space="preserve">Cash paid for RSU tax withholding at IPO ($mm)</t>
  </si>
  <si>
    <t xml:space="preserve">Blank in S-1. Paid from IPO proceeds per S-1 use of proceeds; separate from the tax deduction</t>
  </si>
  <si>
    <t xml:space="preserve">Economic shares at valuation date (mm)</t>
  </si>
  <si>
    <t xml:space="preserve">June fully diluted + Fund issuance + post-June RSUs + donation shares - shares withheld + IPO shares</t>
  </si>
  <si>
    <t xml:space="preserve">Discount rate</t>
  </si>
  <si>
    <t xml:space="preserve">Annual return required on the equity</t>
  </si>
  <si>
    <t xml:space="preserve">Interest yield on cash</t>
  </si>
  <si>
    <t xml:space="preserve">Q2 2026 actual ~2.3% a year. Applied to opening cash each year; no interest on a negative balance</t>
  </si>
  <si>
    <t xml:space="preserve">Weight on P/E method (rest on cash flow method)</t>
  </si>
  <si>
    <t xml:space="preserve">Both methods use the same forecasts, so the blend is not independent confirmation</t>
  </si>
  <si>
    <t xml:space="preserve">Reference IPO valuation ($mm)</t>
  </si>
  <si>
    <t xml:space="preserve">Low end of reported $1.5T-$2T range; sets the Public Benefit step starting price</t>
  </si>
  <si>
    <t xml:space="preserve">Reference IPO price per share</t>
  </si>
  <si>
    <t xml:space="preserve">Derived on economic shares</t>
  </si>
  <si>
    <t xml:space="preserve">Board issues maximum Public Benefit shares? (1 = yes)</t>
  </si>
  <si>
    <t xml:space="preserve">S-1: discretionary. Model assumes maximum issuance (conservative)</t>
  </si>
  <si>
    <t xml:space="preserve">Public Benefit issuance per step (% of shares)</t>
  </si>
  <si>
    <t xml:space="preserve">S-1: up to an additional 2% each time the price rises 50% above the prior step</t>
  </si>
  <si>
    <t xml:space="preserve">Share price rise per step</t>
  </si>
  <si>
    <t xml:space="preserve">S-1: a step requires a close above the threshold on 90 of 120 trading days and a 10-day average above it</t>
  </si>
  <si>
    <t xml:space="preserve">Global knowledge-work value pool ($mm)</t>
  </si>
  <si>
    <t xml:space="preserve">S-1: knowledge work was more than $40 trillion of economic value in 2025. Sanity check only</t>
  </si>
  <si>
    <t xml:space="preserve">Target valuation for the $2T test ($mm)</t>
  </si>
  <si>
    <t xml:space="preserve">Used on Summary</t>
  </si>
  <si>
    <t xml:space="preserve">Operating cash buffer (shortfall threshold, $mm)</t>
  </si>
  <si>
    <t xml:space="preserve">Assumed buffer; cash below it is a shortfall. Separate from the $5B liquidity covenant, whose definition may differ from cash. $0 shown as a sensitivity</t>
  </si>
  <si>
    <t xml:space="preserve">Equity issuance discount if funding is needed</t>
  </si>
  <si>
    <t xml:space="preserve">Illustrative modeling assumption, not observed terms. 0% and 30% shown alongside</t>
  </si>
  <si>
    <t xml:space="preserve">Equity issuance fees</t>
  </si>
  <si>
    <t xml:space="preserve">Illustrative</t>
  </si>
  <si>
    <t xml:space="preserve">Depreciation life of owned capacity (years)</t>
  </si>
  <si>
    <t xml:space="preserve">Straight-line depreciation on capital spending from 2027</t>
  </si>
  <si>
    <t xml:space="preserve">Working capital change, % of revenue increase</t>
  </si>
  <si>
    <t xml:space="preserve">H1 2026 working capital was a $1.17B inflow; default 0</t>
  </si>
  <si>
    <t xml:space="preserve">Value-share days to collect</t>
  </si>
  <si>
    <t xml:space="preserve">Default 0 reproduces v1.1. Raising it delays value-share cash</t>
  </si>
  <si>
    <t xml:space="preserve">Value-share capex basis (1, 2 or 3)</t>
  </si>
  <si>
    <t xml:space="preserve">1 = company capex rate x net new revenue (v1.1 method); 2 = % of gross value-share revenue; 3 = none (capacity bought via extra-compute charge)</t>
  </si>
  <si>
    <t xml:space="preserve">Value-share capex % of gross value-share revenue (basis 2)</t>
  </si>
  <si>
    <t xml:space="preserve">Used only when basis = 2</t>
  </si>
  <si>
    <t xml:space="preserve">Q3 2026 donation-matching charge ($mm, non-cash)</t>
  </si>
  <si>
    <t xml:space="preserve">S-1 Note 17: $2.0B in other operating &amp; administrative expense; settled in shares in October 2026</t>
  </si>
  <si>
    <t xml:space="preserve">Minimum-liquidity covenant ($mm)</t>
  </si>
  <si>
    <t xml:space="preserve">S-1: A&amp;R Credit Agreement requires liquidity of at least $5.0B at each quarter end from Q4 2026. 'Liquidity' is not defined in the S-1; cash is used as a proxy and may differ</t>
  </si>
  <si>
    <t xml:space="preserve">Share of compute spending eligible for prepaid credits</t>
  </si>
  <si>
    <t xml:space="preserve">Prepaid credits cannot exceed eligible compute charges in a year; unused balance carries forward</t>
  </si>
  <si>
    <t xml:space="preserve">Years over which prepaid credits are scheduled (from 2028)</t>
  </si>
  <si>
    <t xml:space="preserve">Scheduled credits accumulate; actual credits are capped by eligible charges and the remaining balance</t>
  </si>
  <si>
    <t xml:space="preserve">Taxes</t>
  </si>
  <si>
    <t xml:space="preserve">Federal tax rate</t>
  </si>
  <si>
    <t xml:space="preserve">US federal statutory rate</t>
  </si>
  <si>
    <t xml:space="preserve">Federal NOL carryforward at Dec 31, 2025 ($mm)</t>
  </si>
  <si>
    <t xml:space="preserve">S-1 income tax note: $8.2B, does not expire</t>
  </si>
  <si>
    <t xml:space="preserve">Federal NOL usage limit (% of taxable income)</t>
  </si>
  <si>
    <t xml:space="preserve">Post-2017 federal NOLs offset up to 80% of taxable income</t>
  </si>
  <si>
    <t xml:space="preserve">Share of taxable income subject to state tax</t>
  </si>
  <si>
    <t xml:space="preserve">Assumption. Proxy: US share of H1 2026 revenue (72%). Not company disclosure</t>
  </si>
  <si>
    <t xml:space="preserve">Blended state tax rate on that income</t>
  </si>
  <si>
    <t xml:space="preserve">Assumption, not company disclosure. California's 8.84% is not applied to all income</t>
  </si>
  <si>
    <t xml:space="preserve">State NOL carryforwards at Dec 31, 2025 ($mm)</t>
  </si>
  <si>
    <t xml:space="preserve">S-1 income tax note: $4.2B, begin to expire in 2033</t>
  </si>
  <si>
    <t xml:space="preserve">State NOLs suspended in 2026? (1 = yes)</t>
  </si>
  <si>
    <t xml:space="preserve">California suspended NOL deductions for 2024-2026 above $1M income; applied to all state NOLs for simplicity</t>
  </si>
  <si>
    <t xml:space="preserve">IPO-related RSU tax deduction ($mm)</t>
  </si>
  <si>
    <t xml:space="preserve">Likely large but not quantified in the S-1. Default 0</t>
  </si>
  <si>
    <t xml:space="preserve">Year of RSU deduction</t>
  </si>
  <si>
    <t xml:space="preserve">Applies to federal and state taxable income in that year</t>
  </si>
  <si>
    <t xml:space="preserve">Year-based settings</t>
  </si>
  <si>
    <t xml:space="preserve">2026</t>
  </si>
  <si>
    <t xml:space="preserve">2027</t>
  </si>
  <si>
    <t xml:space="preserve">2028</t>
  </si>
  <si>
    <t xml:space="preserve">2029</t>
  </si>
  <si>
    <t xml:space="preserve">2030</t>
  </si>
  <si>
    <t xml:space="preserve">Legacy v1.1 tax rate ramp (tax method 0 only)</t>
  </si>
  <si>
    <t xml:space="preserve">Capital spending % of core revenue</t>
  </si>
  <si>
    <t xml:space="preserve">Other taxable income adjustments ($mm)</t>
  </si>
  <si>
    <t xml:space="preserve">Capex: H1 2026 was 3% of revenue; the S-1 says Anthropic plans its own data centers. Taxable income here is a proxy (operating income + interest + adjustments - RSU deduction), not a tax return.</t>
  </si>
  <si>
    <t xml:space="preserve">Scenario levers</t>
  </si>
  <si>
    <t xml:space="preserve">Why</t>
  </si>
  <si>
    <t xml:space="preserve">S1 Flat revenue</t>
  </si>
  <si>
    <t xml:space="preserve">S2 Compute +20%</t>
  </si>
  <si>
    <t xml:space="preserve">S3 Half growth</t>
  </si>
  <si>
    <t xml:space="preserve">S4 Lower multiples</t>
  </si>
  <si>
    <t xml:space="preserve">S5 Discount +2pts</t>
  </si>
  <si>
    <t xml:space="preserve">S6 Combined</t>
  </si>
  <si>
    <t xml:space="preserve">T21 Tax 21%</t>
  </si>
  <si>
    <t xml:space="preserve">T25 Tax 25%</t>
  </si>
  <si>
    <t xml:space="preserve">T28 Tax 28%</t>
  </si>
  <si>
    <t xml:space="preserve">S7 Funding test</t>
  </si>
  <si>
    <t xml:space="preserve">Q4 2026 revenue ($mm)</t>
  </si>
  <si>
    <t xml:space="preserve">Q3 implied ~$16.9B. Bear +9%, base +24%, bull +42% vs Q3</t>
  </si>
  <si>
    <t xml:space="preserve">Subscription share of revenue (2027-2030)</t>
  </si>
  <si>
    <t xml:space="preserve">H1 2026 actual: 19.8%</t>
  </si>
  <si>
    <t xml:space="preserve">Revenue growth 2027</t>
  </si>
  <si>
    <t xml:space="preserve">Full-year growth</t>
  </si>
  <si>
    <t xml:space="preserve">Revenue growth 2028</t>
  </si>
  <si>
    <t xml:space="preserve">Revenue growth 2029</t>
  </si>
  <si>
    <t xml:space="preserve">Revenue growth 2030</t>
  </si>
  <si>
    <t xml:space="preserve">Compute % of revenue, H2 2026</t>
  </si>
  <si>
    <t xml:space="preserve">Q2 2026 actual: 48%. Sets the 2026 compute base that later growth compounds on</t>
  </si>
  <si>
    <t xml:space="preserve">Compute spend growth 2027</t>
  </si>
  <si>
    <t xml:space="preserve">Compute is bought 12-18 months ahead and largely fixed; it grows on its own schedule. Note: Bear grows compute at the same rate as revenue</t>
  </si>
  <si>
    <t xml:space="preserve">Compute spend growth 2028</t>
  </si>
  <si>
    <t xml:space="preserve">Compute spend growth 2029</t>
  </si>
  <si>
    <t xml:space="preserve">Compute spend growth 2030</t>
  </si>
  <si>
    <t xml:space="preserve">Personnel % of revenue 2027</t>
  </si>
  <si>
    <t xml:space="preserve">Q2 2026 actual: 16%</t>
  </si>
  <si>
    <t xml:space="preserve">Personnel % of revenue 2028</t>
  </si>
  <si>
    <t xml:space="preserve">Personnel % of revenue 2029</t>
  </si>
  <si>
    <t xml:space="preserve">Personnel % of revenue 2030</t>
  </si>
  <si>
    <t xml:space="preserve">Stock comp % of revenue (inside personnel) 2027</t>
  </si>
  <si>
    <t xml:space="preserve">Q2 2026 actual: 11%</t>
  </si>
  <si>
    <t xml:space="preserve">Stock comp % of revenue (inside personnel) 2028</t>
  </si>
  <si>
    <t xml:space="preserve">Stock comp % of revenue (inside personnel) 2029</t>
  </si>
  <si>
    <t xml:space="preserve">Stock comp % of revenue (inside personnel) 2030</t>
  </si>
  <si>
    <t xml:space="preserve">Sales, marketing &amp; partner fees % of revenue 2027</t>
  </si>
  <si>
    <t xml:space="preserve">Q2 2026 actual: 18%</t>
  </si>
  <si>
    <t xml:space="preserve">Sales, marketing &amp; partner fees % of revenue 2028</t>
  </si>
  <si>
    <t xml:space="preserve">Sales, marketing &amp; partner fees % of revenue 2029</t>
  </si>
  <si>
    <t xml:space="preserve">Sales, marketing &amp; partner fees % of revenue 2030</t>
  </si>
  <si>
    <t xml:space="preserve">Other opex % of revenue 2027</t>
  </si>
  <si>
    <t xml:space="preserve">Q2 2026 actual: 9%</t>
  </si>
  <si>
    <t xml:space="preserve">Other opex % of revenue 2028</t>
  </si>
  <si>
    <t xml:space="preserve">Other opex % of revenue 2029</t>
  </si>
  <si>
    <t xml:space="preserve">Other opex % of revenue 2030</t>
  </si>
  <si>
    <t xml:space="preserve">Exit P/E on 2030 after-tax operating earnings</t>
  </si>
  <si>
    <t xml:space="preserve">Earnings after stock comp, depreciation and tax</t>
  </si>
  <si>
    <t xml:space="preserve">Exit multiple of 2030 economic cash flow</t>
  </si>
  <si>
    <t xml:space="preserve">Used in the cash flow method</t>
  </si>
  <si>
    <t xml:space="preserve">Discount rate add-on (points)</t>
  </si>
  <si>
    <t xml:space="preserve">Added to the shared discount rate</t>
  </si>
  <si>
    <t xml:space="preserve">Tax method (0 = v1.1 ramp, 1 = NOL + state, 2 = flat rate)</t>
  </si>
  <si>
    <t xml:space="preserve">Method 1 is the v1.2 default</t>
  </si>
  <si>
    <t xml:space="preserve">Flat combined tax rate (method 2 only)</t>
  </si>
  <si>
    <t xml:space="preserve">Used only when tax method = 2</t>
  </si>
  <si>
    <t xml:space="preserve">Compute prepayment paid at the start of 2027 ($mm)</t>
  </si>
  <si>
    <t xml:space="preserve">Cash paid ahead of use (S-1 shows large hosting prepayments). S7 uses $200B as an illustrative funding test; credits follow the prepaid roll-forward</t>
  </si>
  <si>
    <t xml:space="preserve">Scenario probability</t>
  </si>
  <si>
    <t xml:space="preserve">Must sum to 100%</t>
  </si>
  <si>
    <t xml:space="preserve">Probability check (should be 100%)</t>
  </si>
  <si>
    <t xml:space="preserve">Value-share line (hypothetical)</t>
  </si>
  <si>
    <t xml:space="preserve">Share of core revenue base under value-share contracts 2027</t>
  </si>
  <si>
    <t xml:space="preserve">Hypothetical. Seeds in S-1: Ode with Anthropic, drug discovery partners. No such revenue line is disclosed</t>
  </si>
  <si>
    <t xml:space="preserve">Share of core revenue base under value-share contracts 2028</t>
  </si>
  <si>
    <t xml:space="preserve">Share of core revenue base under value-share contracts 2029</t>
  </si>
  <si>
    <t xml:space="preserve">Share of core revenue base under value-share contracts 2030</t>
  </si>
  <si>
    <t xml:space="preserve">Economic value created per $1 of Claude spend</t>
  </si>
  <si>
    <t xml:space="preserve">Hypothetical. Measurable partner gain per $1 it would have paid in tokens</t>
  </si>
  <si>
    <t xml:space="preserve">Anthropic's cut of value created</t>
  </si>
  <si>
    <t xml:space="preserve">Hypothetical royalty / revenue share / success fee</t>
  </si>
  <si>
    <t xml:space="preserve">Token revenue given up on those customers</t>
  </si>
  <si>
    <t xml:space="preserve">Share of their per-token spend waived in exchange for the cut</t>
  </si>
  <si>
    <t xml:space="preserve">Delivery cost % of value-share revenue</t>
  </si>
  <si>
    <t xml:space="preserve">Embedded engineers, partner operations, measuring and auditing results</t>
  </si>
  <si>
    <t xml:space="preserve">Extra compute % of value-share revenue</t>
  </si>
  <si>
    <t xml:space="preserve">Dedicated capacity for partnered deployments</t>
  </si>
  <si>
    <t xml:space="preserve">Selling, partner fees &amp; overhead % of value-share revenue</t>
  </si>
  <si>
    <t xml:space="preserve">Deal-making, cloud partner fees, legal and overhead</t>
  </si>
  <si>
    <t xml:space="preserve">Input checks</t>
  </si>
  <si>
    <t xml:space="preserve">Problems</t>
  </si>
  <si>
    <t xml:space="preserve">What is checked</t>
  </si>
  <si>
    <t xml:space="preserve">Probabilities sum to 100%</t>
  </si>
  <si>
    <t xml:space="preserve">Bear + Base + Bull probability</t>
  </si>
  <si>
    <t xml:space="preserve">Probabilities between 0 and 1</t>
  </si>
  <si>
    <t xml:space="preserve">Value-share adoption between 0% and 100%</t>
  </si>
  <si>
    <t xml:space="preserve">All years, Bear/Base/Bull</t>
  </si>
  <si>
    <t xml:space="preserve">Cut and token give-up between 0% and 100%</t>
  </si>
  <si>
    <t xml:space="preserve">Value-share cost shares sum below 100%</t>
  </si>
  <si>
    <t xml:space="preserve">Delivery + extra compute + overhead</t>
  </si>
  <si>
    <t xml:space="preserve">Multiples positive</t>
  </si>
  <si>
    <t xml:space="preserve">All cases</t>
  </si>
  <si>
    <t xml:space="preserve">Discount rate positive</t>
  </si>
  <si>
    <t xml:space="preserve">P/E weight between 0 and 1</t>
  </si>
  <si>
    <t xml:space="preserve">Issuance discount and fees between 0% and 99%</t>
  </si>
  <si>
    <t xml:space="preserve">Tax inputs between 0% and 100%</t>
  </si>
  <si>
    <t xml:space="preserve">Tax method is 0, 1 or 2</t>
  </si>
  <si>
    <t xml:space="preserve">Value-share capex basis is 1, 2 or 3</t>
  </si>
  <si>
    <t xml:space="preserve">Shares positive</t>
  </si>
  <si>
    <t xml:space="preserve">Depreciation life is a whole number of at least 1 year</t>
  </si>
  <si>
    <t xml:space="preserve">Vintage depreciation needs whole years</t>
  </si>
  <si>
    <t xml:space="preserve">Cost ratios not negative</t>
  </si>
  <si>
    <t xml:space="preserve">Compute, personnel, stock comp, sales and other cost ratios (all cases)</t>
  </si>
  <si>
    <t xml:space="preserve">Stock comp not above personnel</t>
  </si>
  <si>
    <t xml:space="preserve">Stock comp sits inside personnel</t>
  </si>
  <si>
    <t xml:space="preserve">Growth rates above -100%</t>
  </si>
  <si>
    <t xml:space="preserve">Revenue and compute growth; negative growth is allowed</t>
  </si>
  <si>
    <t xml:space="preserve">Q4 revenue, prepayment and subscription share valid</t>
  </si>
  <si>
    <t xml:space="preserve">Value-share cost and value inputs not negative</t>
  </si>
  <si>
    <t xml:space="preserve">Capex ratios and value-share capex not negative</t>
  </si>
  <si>
    <t xml:space="preserve">Prepaid coverage 0-100%, schedule at least 1 year, collection days not negative</t>
  </si>
  <si>
    <t xml:space="preserve">Share inputs valid</t>
  </si>
  <si>
    <t xml:space="preserve">Total problems</t>
  </si>
  <si>
    <t xml:space="preserve">Bear — projections, cash and valuation ($ millions except per share)</t>
  </si>
  <si>
    <t xml:space="preserve">2026E = H1 2026 actual + Q3 2026 implied + assumed Q4. Compute is forecast as cash spending (hosting, leases and owned capacity all treated as paid when expensed); the S-1 gives no payment schedule.</t>
  </si>
  <si>
    <t xml:space="preserve">Core business: income statement</t>
  </si>
  <si>
    <t xml:space="preserve">2025A</t>
  </si>
  <si>
    <t xml:space="preserve">2026E</t>
  </si>
  <si>
    <t xml:space="preserve">2027E</t>
  </si>
  <si>
    <t xml:space="preserve">2028E</t>
  </si>
  <si>
    <t xml:space="preserve">2029E</t>
  </si>
  <si>
    <t xml:space="preserve">2030E</t>
  </si>
  <si>
    <t xml:space="preserve">  Growth</t>
  </si>
  <si>
    <t xml:space="preserve">  Subscription revenue</t>
  </si>
  <si>
    <t xml:space="preserve">  Consumption revenue</t>
  </si>
  <si>
    <t xml:space="preserve">  of which stock comp</t>
  </si>
  <si>
    <t xml:space="preserve">Sales, marketing &amp; partner fees</t>
  </si>
  <si>
    <t xml:space="preserve">Other operating &amp; administrative</t>
  </si>
  <si>
    <t xml:space="preserve">One-time items (2025 Bartz settlement; 2026 Q3 donation-matching charge)</t>
  </si>
  <si>
    <t xml:space="preserve">Operating income before depreciation of new owned capacity</t>
  </si>
  <si>
    <t xml:space="preserve">  Margin</t>
  </si>
  <si>
    <t xml:space="preserve">  Compute % of revenue</t>
  </si>
  <si>
    <t xml:space="preserve">Non-cash donation-matching charges (incl. in costs above)</t>
  </si>
  <si>
    <t xml:space="preserve">Discount factor to end 2026</t>
  </si>
  <si>
    <t xml:space="preserve">Third business line: value-share partnerships (hypothetical)</t>
  </si>
  <si>
    <t xml:space="preserve">Share of core revenue base under value-share</t>
  </si>
  <si>
    <t xml:space="preserve">Revenue base moved to value-share</t>
  </si>
  <si>
    <t xml:space="preserve">Value created per $1 of Claude spend</t>
  </si>
  <si>
    <t xml:space="preserve">Economic value created for partners</t>
  </si>
  <si>
    <t xml:space="preserve">Anthropic's cut</t>
  </si>
  <si>
    <t xml:space="preserve">Value-share revenue (gross)</t>
  </si>
  <si>
    <t xml:space="preserve">Token revenue given up</t>
  </si>
  <si>
    <t xml:space="preserve">Net new revenue</t>
  </si>
  <si>
    <t xml:space="preserve">Delivery cost</t>
  </si>
  <si>
    <t xml:space="preserve">Extra compute</t>
  </si>
  <si>
    <t xml:space="preserve">Selling, partner fees &amp; overhead</t>
  </si>
  <si>
    <t xml:space="preserve">Value-share operating contribution</t>
  </si>
  <si>
    <t xml:space="preserve">Value-share capital spending (per selected basis)</t>
  </si>
  <si>
    <t xml:space="preserve">Value-share collection timing (working capital)</t>
  </si>
  <si>
    <t xml:space="preserve">Prepaid compute roll-forward (cash paid ahead of use)</t>
  </si>
  <si>
    <t xml:space="preserve">Prepaid balance, opening</t>
  </si>
  <si>
    <t xml:space="preserve">Prepayment paid (start of year)</t>
  </si>
  <si>
    <t xml:space="preserve">Scheduled credits available (cumulative scheduled less used)</t>
  </si>
  <si>
    <t xml:space="preserve">Eligible compute charges this year</t>
  </si>
  <si>
    <t xml:space="preserve">Credits used (capped by balance, schedule and eligible charges)</t>
  </si>
  <si>
    <t xml:space="preserve">Prepaid balance, closing</t>
  </si>
  <si>
    <t xml:space="preserve">Core business (tokens + subscriptions): earnings, taxes, cash</t>
  </si>
  <si>
    <t xml:space="preserve">Capital spending</t>
  </si>
  <si>
    <t xml:space="preserve">Depreciation of owned capacity bought from 2027</t>
  </si>
  <si>
    <t xml:space="preserve">Operating income (earnings basis, after stock comp)</t>
  </si>
  <si>
    <t xml:space="preserve">  Operating margin</t>
  </si>
  <si>
    <t xml:space="preserve">Interest income (on opening cash)</t>
  </si>
  <si>
    <t xml:space="preserve">Other taxable income adjustments</t>
  </si>
  <si>
    <t xml:space="preserve">IPO RSU tax deduction</t>
  </si>
  <si>
    <t xml:space="preserve">Taxable income proxy</t>
  </si>
  <si>
    <t xml:space="preserve">  State taxable base (apportioned)</t>
  </si>
  <si>
    <t xml:space="preserve">  State NOL, opening</t>
  </si>
  <si>
    <t xml:space="preserve">  State NOL used</t>
  </si>
  <si>
    <t xml:space="preserve">  State NOL, closing</t>
  </si>
  <si>
    <t xml:space="preserve">  State tax</t>
  </si>
  <si>
    <t xml:space="preserve">  Federal taxable income before NOL (after state tax)</t>
  </si>
  <si>
    <t xml:space="preserve">  Federal NOL, opening</t>
  </si>
  <si>
    <t xml:space="preserve">  Federal NOL used (80% limit)</t>
  </si>
  <si>
    <t xml:space="preserve">  Federal NOL, closing</t>
  </si>
  <si>
    <t xml:space="preserve">  Federal tax</t>
  </si>
  <si>
    <t xml:space="preserve">Cash taxes (selected method)</t>
  </si>
  <si>
    <t xml:space="preserve">  Effective tax rate on taxable income</t>
  </si>
  <si>
    <t xml:space="preserve">Net income excl. non-cash fair value items</t>
  </si>
  <si>
    <t xml:space="preserve">Non-cash stock comp &amp; donation charges (added back for liquidity)</t>
  </si>
  <si>
    <t xml:space="preserve">Working capital</t>
  </si>
  <si>
    <t xml:space="preserve">Compute prepayment timing (non-recurring; excluded from exit value)</t>
  </si>
  <si>
    <t xml:space="preserve">Actual cash flow (liquidity basis)</t>
  </si>
  <si>
    <t xml:space="preserve">Economic operating cash flow (valuation basis: after stock comp, excl. interest)</t>
  </si>
  <si>
    <t xml:space="preserve">  Economic cash flow margin</t>
  </si>
  <si>
    <t xml:space="preserve">Cash roll-forward</t>
  </si>
  <si>
    <t xml:space="preserve">H2 2026</t>
  </si>
  <si>
    <t xml:space="preserve">Opening cash</t>
  </si>
  <si>
    <t xml:space="preserve">  of which paid at start of year (prepayment)</t>
  </si>
  <si>
    <t xml:space="preserve">Cash flow in period (H2 only for 2026)</t>
  </si>
  <si>
    <t xml:space="preserve">2026: full-year cash flow less H1 actual on the same basis</t>
  </si>
  <si>
    <t xml:space="preserve">RSU tax withholding paid</t>
  </si>
  <si>
    <t xml:space="preserve">Primary IPO proceeds</t>
  </si>
  <si>
    <t xml:space="preserve">Closing cash</t>
  </si>
  <si>
    <t xml:space="preserve">Lowest cash in the year (start-of-year payments or year end)</t>
  </si>
  <si>
    <t xml:space="preserve">  Lowest cash above the shortfall threshold</t>
  </si>
  <si>
    <t xml:space="preserve">  Year-end cash vs $5B covenant (cash proxy)</t>
  </si>
  <si>
    <t xml:space="preserve">  Funding status</t>
  </si>
  <si>
    <t xml:space="preserve">Peak funding need (intra-year)</t>
  </si>
  <si>
    <t xml:space="preserve">  Sensitivity: peak funding need with a $0 buffer</t>
  </si>
  <si>
    <t xml:space="preserve">Funded cash path (illustrative equity raise)</t>
  </si>
  <si>
    <t xml:space="preserve">Financing year (start of the first shortfall year; proceeds arrive with the payment)</t>
  </si>
  <si>
    <t xml:space="preserve">Net proceeds needed (covers peak need)</t>
  </si>
  <si>
    <t xml:space="preserve">Issuance fees</t>
  </si>
  <si>
    <t xml:space="preserve">Gross amount raised</t>
  </si>
  <si>
    <t xml:space="preserve">Net proceeds received in year</t>
  </si>
  <si>
    <t xml:space="preserve">Interest change vs. unfunded path (funded balance after start-of-year payments)</t>
  </si>
  <si>
    <t xml:space="preserve">Extra tax on that interest</t>
  </si>
  <si>
    <t xml:space="preserve">Closing cash — funded</t>
  </si>
  <si>
    <t xml:space="preserve">Lowest cash in the year — funded</t>
  </si>
  <si>
    <t xml:space="preserve">  Funded path stays above threshold?</t>
  </si>
  <si>
    <t xml:space="preserve">Hybrid company (core + value-share): earnings, taxes, cash</t>
  </si>
  <si>
    <t xml:space="preserve">Valuation as of end 2026</t>
  </si>
  <si>
    <t xml:space="preserve">Discount rate for this case</t>
  </si>
  <si>
    <t xml:space="preserve">2030 after-tax operating earnings (after stock comp &amp; depreciation)</t>
  </si>
  <si>
    <t xml:space="preserve">Exit P/E</t>
  </si>
  <si>
    <t xml:space="preserve">Exit value at end 2030 — P/E method</t>
  </si>
  <si>
    <t xml:space="preserve">  Discounted to end 2026</t>
  </si>
  <si>
    <t xml:space="preserve">Discounted economic cash flow 2027-2030</t>
  </si>
  <si>
    <t xml:space="preserve">Value of operations — P/E method</t>
  </si>
  <si>
    <t xml:space="preserve">Exit value (2030 economic cash flow x multiple), discounted</t>
  </si>
  <si>
    <t xml:space="preserve">Value of operations — cash flow method</t>
  </si>
  <si>
    <t xml:space="preserve">Value of operations — blended</t>
  </si>
  <si>
    <t xml:space="preserve">  Exit value share of value — P/E method</t>
  </si>
  <si>
    <t xml:space="preserve">  Exit value share of value — cash flow method</t>
  </si>
  <si>
    <t xml:space="preserve">Plus cash at end 2026 (from roll-forward)</t>
  </si>
  <si>
    <t xml:space="preserve">Plus unused prepaid compute at end 2030, discounted (assumed usable later; no refund assumed)</t>
  </si>
  <si>
    <t xml:space="preserve">Equity value, no new funding</t>
  </si>
  <si>
    <t xml:space="preserve">Equity value, no new funding — valid cases only</t>
  </si>
  <si>
    <t xml:space="preserve">Economic shares (mm)</t>
  </si>
  <si>
    <t xml:space="preserve">Value per share before any raise (pre-funding)</t>
  </si>
  <si>
    <t xml:space="preserve">Peak funding need 2027-2030</t>
  </si>
  <si>
    <t xml:space="preserve">Cash runway after 2030 at the 2030 burn rate (years)</t>
  </si>
  <si>
    <t xml:space="preserve">Valuation validity check</t>
  </si>
  <si>
    <t xml:space="preserve">Funding / validity status</t>
  </si>
  <si>
    <t xml:space="preserve">Value per share if funded — 0% issuance discount</t>
  </si>
  <si>
    <t xml:space="preserve">Value per share if funded — base discount (Inputs)</t>
  </si>
  <si>
    <t xml:space="preserve">Value per share if funded — 30% issuance discount</t>
  </si>
  <si>
    <t xml:space="preserve">Value per share before Public Benefit issuances</t>
  </si>
  <si>
    <t xml:space="preserve">Public Benefit issuance steps (approximation)</t>
  </si>
  <si>
    <t xml:space="preserve">Value per share</t>
  </si>
  <si>
    <t xml:space="preserve">Value per share — no new funding available</t>
  </si>
  <si>
    <t xml:space="preserve">Equity value incl. any raise</t>
  </si>
  <si>
    <t xml:space="preserve">Equity value / 2027 revenue</t>
  </si>
  <si>
    <t xml:space="preserve">Memo: P/E method only, per share (pre-funding)</t>
  </si>
  <si>
    <t xml:space="preserve">Memo: cash flow method only, per share (pre-funding)</t>
  </si>
  <si>
    <t xml:space="preserve">Validity: exit multiples are not applied to a negative 2030 result, and a value at or below zero is not converted to a per-share price; both show 'unresolved'. Runway flags cash that runs out soon after 2030 even if 2026-2030 is covered (stock comp add-backs delay the shortfall).</t>
  </si>
  <si>
    <t xml:space="preserve">Funding: if cash falls below the threshold at any point in a year (start-of-year payments count), the peak need is assumed raised as equity at the start of that year, at a discount to the case's pre-funding value per share rolled forward to that date at the discount rate. Fees reduce proceeds. The funded cash path shows proceeds, extra interest and tax. Positive modeled value does not guarantee access to capital.</t>
  </si>
  <si>
    <t xml:space="preserve">Valuation charges stock comp and share-settled donations once, as expenses; future award shares are not added (except awards already granted, see Inputs). Interest is excluded from both methods and cash is added once. No liquidation value is modeled: the S-1 leaves the commitment payment schedule blank.</t>
  </si>
  <si>
    <t xml:space="preserve">Public Benefit steps: approximated from modeled value vs. the reference IPO price, not an actual 90-of-120-day price path; compounded; maximum issuance assumed if the switch is on.</t>
  </si>
  <si>
    <t xml:space="preserve">Base — projections, cash and valuation ($ millions except per share)</t>
  </si>
  <si>
    <t xml:space="preserve">Bull — projections, cash and valuation ($ millions except per share)</t>
  </si>
  <si>
    <t xml:space="preserve">S1 Flat revenue — projections, cash and valuation ($ millions except per share)</t>
  </si>
  <si>
    <t xml:space="preserve">S2 Compute +20% — projections, cash and valuation ($ millions except per share)</t>
  </si>
  <si>
    <t xml:space="preserve">S3 Half growth — projections, cash and valuation ($ millions except per share)</t>
  </si>
  <si>
    <t xml:space="preserve">S4 Lower multiples — projections, cash and valuation ($ millions except per share)</t>
  </si>
  <si>
    <t xml:space="preserve">S5 Discount +2pts — projections, cash and valuation ($ millions except per share)</t>
  </si>
  <si>
    <t xml:space="preserve">S6 Combined — projections, cash and valuation ($ millions except per share)</t>
  </si>
  <si>
    <t xml:space="preserve">T21 Tax 21% — projections, cash and valuation ($ millions except per share)</t>
  </si>
  <si>
    <t xml:space="preserve">T25 Tax 25% — projections, cash and valuation ($ millions except per share)</t>
  </si>
  <si>
    <t xml:space="preserve">T28 Tax 28% — projections, cash and valuation ($ millions except per share)</t>
  </si>
  <si>
    <t xml:space="preserve">S7 Funding test — projections, cash and valuation ($ millions except per share)</t>
  </si>
  <si>
    <t xml:space="preserve">Stress tests (audit stresses, separate from the Bear / Base / Bull cases)</t>
  </si>
  <si>
    <t xml:space="preserve">Each stress starts from Base and changes only what its name says. S6 combines half growth, compute +20%, multiples -25% and discount +2 points. S1 holds revenue flat while committed compute keeps growing. S7 adds an illustrative $200B 2027 compute prepayment to show the funding mechanics.</t>
  </si>
  <si>
    <t xml:space="preserve">Hybrid company</t>
  </si>
  <si>
    <t xml:space="preserve">S4 Multiples -25%</t>
  </si>
  <si>
    <t xml:space="preserve">2030 revenue ($B)</t>
  </si>
  <si>
    <t xml:space="preserve">2030 compute % of core revenue</t>
  </si>
  <si>
    <t xml:space="preserve">2030 operating margin</t>
  </si>
  <si>
    <t xml:space="preserve">Lowest closing cash 2026-2030 ($B)</t>
  </si>
  <si>
    <t xml:space="preserve">Peak funding need ($B)</t>
  </si>
  <si>
    <t xml:space="preserve">Equity value, no new funding — valid cases only ($B)</t>
  </si>
  <si>
    <t xml:space="preserve">Value per share — no new funding</t>
  </si>
  <si>
    <t xml:space="preserve">Value per share — funded at 0% discount</t>
  </si>
  <si>
    <t xml:space="preserve">Value per share — funded at base discount</t>
  </si>
  <si>
    <t xml:space="preserve">Value per share — funded at 30% discount</t>
  </si>
  <si>
    <t xml:space="preserve">Value per share (after Public Benefit steps)</t>
  </si>
  <si>
    <t xml:space="preserve">Core only: value per share</t>
  </si>
  <si>
    <t xml:space="preserve">Core only: peak funding need ($B)</t>
  </si>
  <si>
    <t xml:space="preserve">Sensitivity: hybrid peak funding need with a $0 buffer ($B)</t>
  </si>
  <si>
    <t xml:space="preserve">Funded path: lowest cash 2026-2030 ($B)</t>
  </si>
  <si>
    <t xml:space="preserve">Funded path: year-end cash 2030 ($B)</t>
  </si>
  <si>
    <t xml:space="preserve">Unused prepaid compute at end 2030 ($B)</t>
  </si>
  <si>
    <t xml:space="preserve">DIAGNOSTIC ONLY, not a valuation: raw calculated equity ($B)</t>
  </si>
  <si>
    <t xml:space="preserve">DIAGNOSTIC: 2030 actual cash flow ($B)</t>
  </si>
  <si>
    <t xml:space="preserve">DIAGNOSTIC: cash runway after 2030 (years)</t>
  </si>
  <si>
    <t xml:space="preserve">Flat-revenue check (S1): cumulative 2027-2030 economic cash flow, core vs. hybrid ($B), against end-2026 cash.</t>
  </si>
  <si>
    <t xml:space="preserve">Core: cumulative 2027-2030 economic cash flow ($B)</t>
  </si>
  <si>
    <t xml:space="preserve">Hybrid: cumulative 2027-2030 economic cash flow ($B)</t>
  </si>
  <si>
    <t xml:space="preserve">End-2026 cash ($B)</t>
  </si>
  <si>
    <t xml:space="preserve">Hybrid: cumulative actual (liquidity) cash flow incl. interest and non-cash add-backs ($B)</t>
  </si>
  <si>
    <t xml:space="preserve">Economic cash flow excludes interest and charges stock comp; actual cash flow adds back stock comp and includes interest, so it burns less cash. Funding need uses actual cash flow.</t>
  </si>
</sst>
</file>

<file path=xl/styles.xml><?xml version="1.0" encoding="utf-8"?>
<styleSheet xmlns="http://schemas.openxmlformats.org/spreadsheetml/2006/main">
  <numFmts count="17">
    <numFmt numFmtId="164" formatCode="General"/>
    <numFmt numFmtId="165" formatCode="@"/>
    <numFmt numFmtId="166" formatCode="\$#,##0.00"/>
    <numFmt numFmtId="167" formatCode="\$#,##0.0;&quot;($&quot;#,##0.0\);\-"/>
    <numFmt numFmtId="168" formatCode="0.0%;\(0.0%\);\-"/>
    <numFmt numFmtId="169" formatCode="0"/>
    <numFmt numFmtId="170" formatCode="0.00%"/>
    <numFmt numFmtId="171" formatCode="\$0.000;&quot;($&quot;0.000\)"/>
    <numFmt numFmtId="172" formatCode="\$#,##0"/>
    <numFmt numFmtId="173" formatCode="0.0\x"/>
    <numFmt numFmtId="174" formatCode="0.00"/>
    <numFmt numFmtId="175" formatCode="\$#,##0;&quot;($&quot;#,##0\);\-"/>
    <numFmt numFmtId="176" formatCode="0\x"/>
    <numFmt numFmtId="177" formatCode="#,##0"/>
    <numFmt numFmtId="178" formatCode="#,##0.0"/>
    <numFmt numFmtId="179" formatCode="0.000"/>
    <numFmt numFmtId="180"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i val="true"/>
      <sz val="9"/>
      <name val="Arial"/>
      <family val="0"/>
      <charset val="1"/>
    </font>
    <font>
      <b val="true"/>
      <sz val="10"/>
      <color rgb="FFC00000"/>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73" fontId="6"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5" fontId="11" fillId="0" borderId="0" xfId="0" applyFont="true" applyBorder="false" applyAlignment="tru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general" vertical="bottom" textRotation="0" wrapText="false" indent="0" shrinkToFit="false"/>
      <protection locked="true" hidden="false"/>
    </xf>
    <xf numFmtId="175" fontId="5" fillId="0" borderId="1" xfId="0" applyFont="true" applyBorder="true" applyAlignment="true" applyProtection="false">
      <alignment horizontal="general" vertical="bottom" textRotation="0" wrapText="false" indent="0" shrinkToFit="false"/>
      <protection locked="true" hidden="false"/>
    </xf>
    <xf numFmtId="175" fontId="5"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76" fontId="11" fillId="0" borderId="0" xfId="0" applyFont="true" applyBorder="false" applyAlignment="true" applyProtection="false">
      <alignment horizontal="general" vertical="bottom" textRotation="0" wrapText="false" indent="0" shrinkToFit="false"/>
      <protection locked="true" hidden="false"/>
    </xf>
    <xf numFmtId="175" fontId="10" fillId="0" borderId="0" xfId="0" applyFont="true" applyBorder="false" applyAlignment="true" applyProtection="false">
      <alignment horizontal="general" vertical="bottom" textRotation="0" wrapText="false" indent="0" shrinkToFit="false"/>
      <protection locked="true" hidden="false"/>
    </xf>
    <xf numFmtId="177" fontId="11" fillId="0" borderId="0" xfId="0" applyFont="true" applyBorder="false" applyAlignment="true" applyProtection="false">
      <alignment horizontal="general" vertical="bottom" textRotation="0" wrapText="false" indent="0" shrinkToFit="false"/>
      <protection locked="true" hidden="false"/>
    </xf>
    <xf numFmtId="177" fontId="6" fillId="0" borderId="0" xfId="0" applyFont="true" applyBorder="false" applyAlignment="true" applyProtection="false">
      <alignment horizontal="general" vertical="bottom" textRotation="0" wrapText="false" indent="0" shrinkToFit="false"/>
      <protection locked="true" hidden="false"/>
    </xf>
    <xf numFmtId="169" fontId="11" fillId="4" borderId="0" xfId="0" applyFont="true" applyBorder="false" applyAlignment="true" applyProtection="false">
      <alignment horizontal="general" vertical="bottom" textRotation="0" wrapText="false" indent="0" shrinkToFit="false"/>
      <protection locked="true" hidden="false"/>
    </xf>
    <xf numFmtId="178" fontId="11" fillId="0" borderId="0" xfId="0" applyFont="true" applyBorder="false" applyAlignment="true" applyProtection="false">
      <alignment horizontal="general" vertical="bottom" textRotation="0" wrapText="false" indent="0" shrinkToFit="false"/>
      <protection locked="true" hidden="false"/>
    </xf>
    <xf numFmtId="177" fontId="11" fillId="4" borderId="0" xfId="0" applyFont="true" applyBorder="false" applyAlignment="true" applyProtection="false">
      <alignment horizontal="general" vertical="bottom" textRotation="0" wrapText="false" indent="0" shrinkToFit="false"/>
      <protection locked="true" hidden="false"/>
    </xf>
    <xf numFmtId="175" fontId="11" fillId="4" borderId="0" xfId="0" applyFont="true" applyBorder="false" applyAlignment="true" applyProtection="false">
      <alignment horizontal="general" vertical="bottom" textRotation="0" wrapText="false" indent="0" shrinkToFit="false"/>
      <protection locked="true" hidden="false"/>
    </xf>
    <xf numFmtId="168" fontId="11" fillId="4" borderId="0" xfId="0" applyFont="true" applyBorder="false" applyAlignment="true" applyProtection="false">
      <alignment horizontal="general" vertical="bottom" textRotation="0" wrapText="false" indent="0" shrinkToFit="false"/>
      <protection locked="true" hidden="false"/>
    </xf>
    <xf numFmtId="173" fontId="11" fillId="4"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3" fontId="10" fillId="0"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77" fontId="10" fillId="0" borderId="0" xfId="0" applyFont="true" applyBorder="false" applyAlignment="true" applyProtection="false">
      <alignment horizontal="general" vertical="bottom" textRotation="0" wrapText="false" indent="0" shrinkToFit="false"/>
      <protection locked="true" hidden="false"/>
    </xf>
    <xf numFmtId="180" fontId="6" fillId="0" borderId="0" xfId="0" applyFont="true" applyBorder="false" applyAlignment="true" applyProtection="false">
      <alignment horizontal="general" vertical="bottom" textRotation="0" wrapText="false" indent="0" shrinkToFit="false"/>
      <protection locked="true" hidden="false"/>
    </xf>
    <xf numFmtId="180"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2"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row>
    <row r="9" customFormat="false" ht="15" hidden="false" customHeight="false" outlineLevel="0" collapsed="false">
      <c r="A9" s="2"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row>
    <row r="14" customFormat="false" ht="15" hidden="false" customHeight="false" outlineLevel="0" collapsed="false">
      <c r="A14" s="2"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row>
    <row r="19" customFormat="false" ht="15" hidden="false" customHeight="false" outlineLevel="0" collapsed="false">
      <c r="A19" s="2" t="s">
        <v>14</v>
      </c>
    </row>
    <row r="20" customFormat="false" ht="1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3" t="s">
        <v>19</v>
      </c>
    </row>
    <row r="25" customFormat="false" ht="15" hidden="false" customHeight="false" outlineLevel="0" collapsed="false">
      <c r="A25" s="3" t="s">
        <v>20</v>
      </c>
    </row>
    <row r="26" customFormat="false" ht="15" hidden="false" customHeight="false" outlineLevel="0" collapsed="false">
      <c r="A26" s="3" t="s">
        <v>21</v>
      </c>
    </row>
    <row r="27" customFormat="false" ht="15" hidden="false" customHeight="false" outlineLevel="0" collapsed="false">
      <c r="A27" s="3" t="s">
        <v>22</v>
      </c>
    </row>
    <row r="28" customFormat="false" ht="15" hidden="false" customHeight="false" outlineLevel="0" collapsed="false">
      <c r="A28" s="3" t="s">
        <v>23</v>
      </c>
    </row>
    <row r="29" customFormat="false" ht="15" hidden="false" customHeight="false" outlineLevel="0" collapsed="false">
      <c r="A29" s="3" t="s">
        <v>24</v>
      </c>
    </row>
    <row r="30" customFormat="false" ht="15" hidden="false" customHeight="false" outlineLevel="0" collapsed="false">
      <c r="A30" s="3" t="s">
        <v>25</v>
      </c>
    </row>
    <row r="31" customFormat="false" ht="15" hidden="false" customHeight="false" outlineLevel="0" collapsed="false">
      <c r="A31" s="3" t="s">
        <v>26</v>
      </c>
    </row>
    <row r="32" customFormat="false" ht="15" hidden="false" customHeight="false" outlineLevel="0" collapsed="false">
      <c r="A32" s="3" t="s">
        <v>27</v>
      </c>
    </row>
    <row r="33" customFormat="false" ht="15" hidden="false" customHeight="false" outlineLevel="0" collapsed="false">
      <c r="A33" s="3" t="s">
        <v>28</v>
      </c>
    </row>
    <row r="34" customFormat="false" ht="15" hidden="false" customHeight="false" outlineLevel="0" collapsed="false">
      <c r="A34" s="3" t="s">
        <v>29</v>
      </c>
    </row>
    <row r="35" customFormat="false" ht="15" hidden="false" customHeight="false" outlineLevel="0" collapsed="false">
      <c r="A35" s="3" t="s">
        <v>30</v>
      </c>
    </row>
    <row r="36" customFormat="false" ht="15" hidden="false" customHeight="false" outlineLevel="0" collapsed="false">
      <c r="A36" s="3" t="s">
        <v>31</v>
      </c>
    </row>
    <row r="37" customFormat="false" ht="15" hidden="false" customHeight="false" outlineLevel="0" collapsed="false">
      <c r="A37" s="3" t="s">
        <v>32</v>
      </c>
    </row>
    <row r="38" customFormat="false" ht="15" hidden="false" customHeight="false" outlineLevel="0" collapsed="false">
      <c r="A38" s="3" t="s">
        <v>33</v>
      </c>
    </row>
    <row r="39" customFormat="false" ht="15" hidden="false" customHeight="false" outlineLevel="0" collapsed="false">
      <c r="A39" s="3" t="s">
        <v>34</v>
      </c>
    </row>
    <row r="40" customFormat="false" ht="15" hidden="false" customHeight="false" outlineLevel="0" collapsed="false">
      <c r="A40" s="3" t="s">
        <v>35</v>
      </c>
    </row>
    <row r="41" customFormat="false" ht="15" hidden="false" customHeight="false" outlineLevel="0" collapsed="false">
      <c r="A41" s="3" t="s">
        <v>36</v>
      </c>
    </row>
    <row r="42" customFormat="false" ht="15" hidden="false" customHeight="false" outlineLevel="0" collapsed="false">
      <c r="A42" s="3" t="s">
        <v>37</v>
      </c>
    </row>
    <row r="43" customFormat="false" ht="15" hidden="false" customHeight="false" outlineLevel="0" collapsed="false">
      <c r="A43" s="3" t="s">
        <v>38</v>
      </c>
    </row>
    <row r="44" customFormat="false" ht="15" hidden="false" customHeight="false" outlineLevel="0" collapsed="false">
      <c r="A44" s="3" t="s">
        <v>39</v>
      </c>
    </row>
    <row r="45" customFormat="false" ht="15" hidden="false" customHeight="false" outlineLevel="0" collapsed="false">
      <c r="A45" s="3" t="s">
        <v>40</v>
      </c>
    </row>
    <row r="46" customFormat="false" ht="15" hidden="false" customHeight="false" outlineLevel="0" collapsed="false">
      <c r="A46" s="3" t="s">
        <v>41</v>
      </c>
    </row>
    <row r="47" customFormat="false" ht="15" hidden="false" customHeight="false" outlineLevel="0" collapsed="false">
      <c r="A47" s="3"/>
    </row>
    <row r="48" customFormat="false" ht="15" hidden="false" customHeight="false" outlineLevel="0" collapsed="false">
      <c r="A48" s="2" t="s">
        <v>42</v>
      </c>
    </row>
    <row r="49" customFormat="false" ht="15" hidden="false" customHeight="false" outlineLevel="0" collapsed="false">
      <c r="A49" s="3" t="s">
        <v>43</v>
      </c>
    </row>
    <row r="50" customFormat="false" ht="15" hidden="false" customHeight="false" outlineLevel="0" collapsed="false">
      <c r="A50" s="3" t="s">
        <v>44</v>
      </c>
    </row>
    <row r="51" customFormat="false" ht="15" hidden="false" customHeight="false" outlineLevel="0" collapsed="false">
      <c r="A51" s="3"/>
    </row>
    <row r="52" customFormat="false" ht="15" hidden="false" customHeight="false" outlineLevel="0" collapsed="false">
      <c r="A52" s="2" t="s">
        <v>45</v>
      </c>
    </row>
    <row r="53" customFormat="false" ht="15" hidden="false" customHeight="false" outlineLevel="0" collapsed="false">
      <c r="A53" s="3" t="s">
        <v>46</v>
      </c>
    </row>
    <row r="54" customFormat="false" ht="15" hidden="false" customHeight="false" outlineLevel="0" collapsed="false">
      <c r="A54" s="3" t="s">
        <v>47</v>
      </c>
    </row>
    <row r="55" customFormat="false" ht="15" hidden="false" customHeight="false" outlineLevel="0" collapsed="false">
      <c r="A55" s="3" t="s">
        <v>48</v>
      </c>
    </row>
    <row r="56" customFormat="false" ht="15" hidden="false" customHeight="false" outlineLevel="0" collapsed="false">
      <c r="A56" s="3" t="s">
        <v>49</v>
      </c>
    </row>
    <row r="57" customFormat="false" ht="15" hidden="false" customHeight="false" outlineLevel="0" collapsed="false">
      <c r="A57" s="3"/>
    </row>
    <row r="58" customFormat="false" ht="15" hidden="false" customHeight="false" outlineLevel="0" collapsed="false">
      <c r="A58" s="2" t="s">
        <v>50</v>
      </c>
    </row>
    <row r="59" customFormat="false" ht="15" hidden="false" customHeight="false" outlineLevel="0" collapsed="false">
      <c r="A59" s="3" t="s">
        <v>51</v>
      </c>
    </row>
    <row r="60" customFormat="false" ht="15" hidden="false" customHeight="false" outlineLevel="0" collapsed="false">
      <c r="A60" s="3"/>
    </row>
    <row r="61" customFormat="false" ht="15" hidden="false" customHeight="false" outlineLevel="0" collapsed="false">
      <c r="A61" s="2" t="s">
        <v>52</v>
      </c>
    </row>
    <row r="62" customFormat="false" ht="15" hidden="false" customHeight="false" outlineLevel="0" collapsed="false">
      <c r="A62" s="3" t="s">
        <v>53</v>
      </c>
    </row>
    <row r="63" customFormat="false" ht="15" hidden="false" customHeight="false" outlineLevel="0" collapsed="false">
      <c r="A63" s="3" t="s">
        <v>54</v>
      </c>
    </row>
    <row r="64" customFormat="false" ht="15" hidden="false" customHeight="false" outlineLevel="0" collapsed="false">
      <c r="A64" s="3"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4" width="72"/>
    <col collapsed="false" customWidth="true" hidden="false" outlineLevel="0" max="6" min="2" style="4" width="15"/>
  </cols>
  <sheetData>
    <row r="1" customFormat="false" ht="17.25" hidden="false" customHeight="true" outlineLevel="0" collapsed="false">
      <c r="A1" s="5" t="s">
        <v>56</v>
      </c>
    </row>
    <row r="2" customFormat="false" ht="15" hidden="false" customHeight="true" outlineLevel="0" collapsed="false">
      <c r="A2" s="6" t="s">
        <v>57</v>
      </c>
    </row>
    <row r="3" customFormat="false" ht="15" hidden="false" customHeight="true" outlineLevel="0" collapsed="false">
      <c r="A3" s="7" t="str">
        <f aca="false">Inputs!C131</f>
        <v>All input checks passed</v>
      </c>
    </row>
    <row r="4" customFormat="false" ht="15" hidden="false" customHeight="true" outlineLevel="0" collapsed="false">
      <c r="A4" s="8" t="s">
        <v>58</v>
      </c>
      <c r="B4" s="9" t="s">
        <v>59</v>
      </c>
      <c r="C4" s="9" t="s">
        <v>60</v>
      </c>
      <c r="D4" s="9" t="s">
        <v>61</v>
      </c>
      <c r="E4" s="9" t="s">
        <v>62</v>
      </c>
    </row>
    <row r="5" customFormat="false" ht="15" hidden="false" customHeight="true" outlineLevel="0" collapsed="false">
      <c r="A5" s="10" t="s">
        <v>63</v>
      </c>
      <c r="B5" s="11" t="n">
        <f aca="false">Bear!G189</f>
        <v>12.9731829978372</v>
      </c>
      <c r="C5" s="11" t="n">
        <f aca="false">Base!G189</f>
        <v>87.8345060962213</v>
      </c>
      <c r="D5" s="11" t="n">
        <f aca="false">Bull!G189</f>
        <v>347.32944910425</v>
      </c>
      <c r="E5" s="12" t="n">
        <f aca="false">IF(Inputs!$B$131&gt;0,"check inputs",IF(COUNT(B5:D5)&lt;3,"n/a",SUMPRODUCT(B5:D5,$B$13:$D$13)))</f>
        <v>133.992911073633</v>
      </c>
    </row>
    <row r="6" customFormat="false" ht="15" hidden="false" customHeight="true" outlineLevel="0" collapsed="false">
      <c r="A6" s="13" t="s">
        <v>64</v>
      </c>
      <c r="B6" s="11" t="n">
        <f aca="false">Bear!F189</f>
        <v>14.5419892454195</v>
      </c>
      <c r="C6" s="11" t="n">
        <f aca="false">Base!F189</f>
        <v>76.3880925547083</v>
      </c>
      <c r="D6" s="11" t="n">
        <f aca="false">Bull!F189</f>
        <v>196.948715610716</v>
      </c>
      <c r="E6" s="12" t="n">
        <f aca="false">IF(Inputs!$B$131&gt;0,"check inputs",IF(COUNT(B6:D6)&lt;3,"n/a",SUMPRODUCT(B6:D6,$B$13:$D$13)))</f>
        <v>91.066722491388</v>
      </c>
    </row>
    <row r="7" customFormat="false" ht="15" hidden="false" customHeight="true" outlineLevel="0" collapsed="false">
      <c r="A7" s="10" t="s">
        <v>65</v>
      </c>
      <c r="B7" s="14" t="n">
        <f aca="false">IFERROR(Bear!G191/1000,"n/a")</f>
        <v>232.254486403769</v>
      </c>
      <c r="C7" s="14" t="n">
        <f aca="false">IFERROR(Base!G191/1000,"n/a")</f>
        <v>1572.4713129621</v>
      </c>
      <c r="D7" s="14" t="n">
        <f aca="false">IFERROR(Bull!G191/1000,"n/a")</f>
        <v>6598.71984660359</v>
      </c>
      <c r="E7" s="15" t="n">
        <f aca="false">IF(Inputs!$B$131&gt;0,"check inputs",IF(COUNT(B7:D7)&lt;3,"n/a",SUMPRODUCT(B7:D7,$B$13:$D$13)))</f>
        <v>2493.97923973289</v>
      </c>
    </row>
    <row r="8" customFormat="false" ht="15" hidden="false" customHeight="true" outlineLevel="0" collapsed="false">
      <c r="A8" s="13" t="s">
        <v>66</v>
      </c>
      <c r="B8" s="14" t="n">
        <f aca="false">IFERROR(Bear!F191/1000,"n/a")</f>
        <v>260.340291511121</v>
      </c>
      <c r="C8" s="14" t="n">
        <f aca="false">IFERROR(Base!F191/1000,"n/a")</f>
        <v>1367.55006127757</v>
      </c>
      <c r="D8" s="14" t="n">
        <f aca="false">IFERROR(Bull!F191/1000,"n/a")</f>
        <v>3668.35252387803</v>
      </c>
      <c r="E8" s="15" t="n">
        <f aca="false">IF(Inputs!$B$131&gt;0,"check inputs",IF(COUNT(B8:D8)&lt;3,"n/a",SUMPRODUCT(B8:D8,$B$13:$D$13)))</f>
        <v>1665.94823448607</v>
      </c>
    </row>
    <row r="9" customFormat="false" ht="15" hidden="false" customHeight="true" outlineLevel="0" collapsed="false">
      <c r="A9" s="13" t="s">
        <v>67</v>
      </c>
      <c r="B9" s="16" t="n">
        <f aca="false">IFERROR(B7/B8-1,"n/a")</f>
        <v>-0.107881131054782</v>
      </c>
      <c r="C9" s="16" t="n">
        <f aca="false">IFERROR(C7/C8-1,"n/a")</f>
        <v>0.149845521189251</v>
      </c>
      <c r="D9" s="16" t="n">
        <f aca="false">IFERROR(D7/D8-1,"n/a")</f>
        <v>0.798823805414344</v>
      </c>
      <c r="E9" s="16" t="n">
        <f aca="false">IFERROR(E7/E8-1,"n/a")</f>
        <v>0.497032853786274</v>
      </c>
    </row>
    <row r="10" customFormat="false" ht="15" hidden="false" customHeight="true" outlineLevel="0" collapsed="false">
      <c r="A10" s="13" t="s">
        <v>68</v>
      </c>
      <c r="B10" s="17" t="str">
        <f aca="false">Bear!G183</f>
        <v>No raise needed</v>
      </c>
      <c r="C10" s="17" t="str">
        <f aca="false">Base!G183</f>
        <v>No raise needed</v>
      </c>
      <c r="D10" s="17" t="str">
        <f aca="false">Bull!G183</f>
        <v>No raise needed</v>
      </c>
    </row>
    <row r="11" customFormat="false" ht="15" hidden="false" customHeight="true" outlineLevel="0" collapsed="false">
      <c r="A11" s="13" t="s">
        <v>69</v>
      </c>
      <c r="B11" s="18" t="n">
        <f aca="false">Bear!G188</f>
        <v>0</v>
      </c>
      <c r="C11" s="18" t="n">
        <f aca="false">Base!G188</f>
        <v>0</v>
      </c>
      <c r="D11" s="18" t="n">
        <f aca="false">Bull!G188</f>
        <v>3</v>
      </c>
    </row>
    <row r="12" customFormat="false" ht="15" hidden="false" customHeight="true" outlineLevel="0" collapsed="false">
      <c r="A12" s="13" t="s">
        <v>70</v>
      </c>
      <c r="B12" s="17" t="str">
        <f aca="false">TEXT(Bear!G172,"0%")&amp;" / "&amp;TEXT(Bear!G173,"0%")</f>
        <v>93% / 88%</v>
      </c>
      <c r="C12" s="17" t="str">
        <f aca="false">TEXT(Base!G172,"0%")&amp;" / "&amp;TEXT(Base!G173,"0%")</f>
        <v>93% / 92%</v>
      </c>
      <c r="D12" s="17" t="str">
        <f aca="false">TEXT(Bull!G172,"0%")&amp;" / "&amp;TEXT(Bull!G173,"0%")</f>
        <v>94% / 93%</v>
      </c>
    </row>
    <row r="13" customFormat="false" ht="15" hidden="false" customHeight="true" outlineLevel="0" collapsed="false">
      <c r="A13" s="13" t="s">
        <v>71</v>
      </c>
      <c r="B13" s="19" t="n">
        <f aca="false">Inputs!B93</f>
        <v>0.25</v>
      </c>
      <c r="C13" s="19" t="n">
        <f aca="false">Inputs!C93</f>
        <v>0.5</v>
      </c>
      <c r="D13" s="19" t="n">
        <f aca="false">Inputs!D93</f>
        <v>0.25</v>
      </c>
      <c r="E13" s="20" t="n">
        <f aca="false">SUM($B$13:$D$13)</f>
        <v>1</v>
      </c>
    </row>
    <row r="14" customFormat="false" ht="15" hidden="false" customHeight="true" outlineLevel="0" collapsed="false">
      <c r="A14" s="13" t="s">
        <v>72</v>
      </c>
      <c r="E14" s="20" t="n">
        <f aca="false">IFERROR(D13*D5/E5,"n/a")</f>
        <v>0.648036986287625</v>
      </c>
    </row>
    <row r="16" customFormat="false" ht="15" hidden="false" customHeight="true" outlineLevel="0" collapsed="false">
      <c r="A16" s="8" t="s">
        <v>73</v>
      </c>
      <c r="B16" s="9" t="s">
        <v>74</v>
      </c>
      <c r="C16" s="9"/>
      <c r="D16" s="9"/>
      <c r="E16" s="9"/>
    </row>
    <row r="17" customFormat="false" ht="15" hidden="false" customHeight="true" outlineLevel="0" collapsed="false">
      <c r="A17" s="13" t="s">
        <v>75</v>
      </c>
      <c r="B17" s="11" t="n">
        <f aca="false">C5</f>
        <v>87.8345060962213</v>
      </c>
    </row>
    <row r="18" customFormat="false" ht="15" hidden="false" customHeight="true" outlineLevel="0" collapsed="false">
      <c r="A18" s="13" t="s">
        <v>76</v>
      </c>
      <c r="B18" s="11" t="str">
        <f aca="false">S6!G189</f>
        <v>unresolved</v>
      </c>
    </row>
    <row r="19" customFormat="false" ht="15" hidden="false" customHeight="true" outlineLevel="0" collapsed="false">
      <c r="A19" s="13" t="s">
        <v>77</v>
      </c>
      <c r="B19" s="17" t="str">
        <f aca="false">S6!G183</f>
        <v>Not meaningful: 2030 earnings or cash flow negative</v>
      </c>
    </row>
    <row r="20" customFormat="false" ht="15" hidden="false" customHeight="true" outlineLevel="0" collapsed="false">
      <c r="A20" s="13" t="s">
        <v>78</v>
      </c>
      <c r="B20" s="17" t="str">
        <f aca="false">TEXT(S1!G141/1000,"$0.0")&amp;"B; "&amp;IF(ISNUMBER(S1!G181),TEXT(S1!G181,"0.0")&amp;" years of cash at 2030 burn","cash-positive")</f>
        <v>$12.4B; 0.2 years of cash at 2030 burn</v>
      </c>
    </row>
    <row r="21" customFormat="false" ht="15" hidden="false" customHeight="true" outlineLevel="0" collapsed="false">
      <c r="A21" s="13" t="s">
        <v>79</v>
      </c>
      <c r="B21" s="17" t="str">
        <f aca="false">C12</f>
        <v>93% / 92%</v>
      </c>
    </row>
    <row r="22" customFormat="false" ht="15" hidden="false" customHeight="true" outlineLevel="0" collapsed="false">
      <c r="A22" s="13" t="s">
        <v>80</v>
      </c>
      <c r="B22" s="19" t="n">
        <f aca="false">E14</f>
        <v>0.648036986287625</v>
      </c>
    </row>
    <row r="23" customFormat="false" ht="15" hidden="false" customHeight="true" outlineLevel="0" collapsed="false">
      <c r="A23" s="6" t="s">
        <v>81</v>
      </c>
    </row>
    <row r="24" customFormat="false" ht="15" hidden="false" customHeight="true" outlineLevel="0" collapsed="false">
      <c r="A24" s="21" t="str">
        <f aca="false">"Assumed, not disclosed: state tax on "&amp;TEXT(Inputs!$B$46,"0%")&amp;" of income at "&amp;TEXT(Inputs!$B$47,"0.0%")&amp;" gives a mature combined rate of "&amp;TEXT(Inputs!$B$43+Inputs!$B$46*Inputs!$B$47*(1-Inputs!$B$43),"0.00%")&amp;". Covenant: $5B minimum liquidity from Q4 2026 (cash used as proxy)."</f>
        <v>Assumed, not disclosed: state tax on 72% of income at 6.0% gives a mature combined rate of 24.41%. Covenant: $5B minimum liquidity from Q4 2026 (cash used as proxy).</v>
      </c>
    </row>
    <row r="25" customFormat="false" ht="15" hidden="false" customHeight="true" outlineLevel="0" collapsed="false">
      <c r="A25" s="8" t="s">
        <v>82</v>
      </c>
      <c r="B25" s="9" t="s">
        <v>59</v>
      </c>
      <c r="C25" s="9" t="s">
        <v>60</v>
      </c>
      <c r="D25" s="9" t="s">
        <v>61</v>
      </c>
      <c r="E25" s="9"/>
    </row>
    <row r="26" customFormat="false" ht="15" hidden="false" customHeight="true" outlineLevel="0" collapsed="false">
      <c r="A26" s="13" t="s">
        <v>83</v>
      </c>
      <c r="B26" s="14" t="n">
        <f aca="false">IFERROR(Bear!G5/1000,"n/a")</f>
        <v>148.4800512</v>
      </c>
      <c r="C26" s="14" t="n">
        <f aca="false">IFERROR(Base!G5/1000,"n/a")</f>
        <v>283.680225</v>
      </c>
      <c r="D26" s="14" t="n">
        <f aca="false">IFERROR(Bull!G5/1000,"n/a")</f>
        <v>521.49015</v>
      </c>
    </row>
    <row r="27" customFormat="false" ht="15" hidden="false" customHeight="true" outlineLevel="0" collapsed="false">
      <c r="A27" s="13" t="s">
        <v>84</v>
      </c>
      <c r="B27" s="14" t="n">
        <f aca="false">IFERROR(Bear!G105/1000,"n/a")</f>
        <v>147.737650944</v>
      </c>
      <c r="C27" s="14" t="n">
        <f aca="false">IFERROR(Base!G105/1000,"n/a")</f>
        <v>321.977055375</v>
      </c>
      <c r="D27" s="14" t="n">
        <f aca="false">IFERROR(Bull!G105/1000,"n/a")</f>
        <v>808.3097325</v>
      </c>
    </row>
    <row r="28" customFormat="false" ht="15" hidden="false" customHeight="true" outlineLevel="0" collapsed="false">
      <c r="A28" s="13" t="s">
        <v>85</v>
      </c>
      <c r="B28" s="14" t="n">
        <f aca="false">IFERROR(Bear!G29/1000,"n/a")</f>
        <v>2.969601024</v>
      </c>
      <c r="C28" s="14" t="n">
        <f aca="false">IFERROR(Base!G29/1000,"n/a")</f>
        <v>51.0624405</v>
      </c>
      <c r="D28" s="14" t="n">
        <f aca="false">IFERROR(Bull!G29/1000,"n/a")</f>
        <v>312.89409</v>
      </c>
    </row>
    <row r="29" customFormat="false" ht="15" hidden="false" customHeight="true" outlineLevel="0" collapsed="false">
      <c r="A29" s="13" t="s">
        <v>86</v>
      </c>
      <c r="B29" s="19" t="n">
        <f aca="false">Bear!G54</f>
        <v>0.0940944865191425</v>
      </c>
      <c r="C29" s="19" t="n">
        <f aca="false">Base!G54</f>
        <v>0.300318835724274</v>
      </c>
      <c r="D29" s="19" t="n">
        <f aca="false">Bull!G54</f>
        <v>0.408212835935636</v>
      </c>
    </row>
    <row r="30" customFormat="false" ht="15" hidden="false" customHeight="true" outlineLevel="0" collapsed="false">
      <c r="A30" s="13" t="s">
        <v>87</v>
      </c>
      <c r="B30" s="19" t="n">
        <f aca="false">Bear!G110</f>
        <v>0.075561480095764</v>
      </c>
      <c r="C30" s="19" t="n">
        <f aca="false">Base!G110</f>
        <v>0.310067942990455</v>
      </c>
      <c r="D30" s="19" t="n">
        <f aca="false">Bull!G110</f>
        <v>0.484193510683728</v>
      </c>
    </row>
    <row r="31" customFormat="false" ht="15" hidden="false" customHeight="true" outlineLevel="0" collapsed="false">
      <c r="A31" s="13" t="s">
        <v>88</v>
      </c>
      <c r="B31" s="19" t="n">
        <f aca="false">Bear!G19</f>
        <v>0.515504175688215</v>
      </c>
      <c r="C31" s="19" t="n">
        <f aca="false">Base!G19</f>
        <v>0.352696695936419</v>
      </c>
      <c r="D31" s="19" t="n">
        <f aca="false">Bull!G19</f>
        <v>0.287246697672046</v>
      </c>
    </row>
    <row r="32" customFormat="false" ht="15" hidden="false" customHeight="true" outlineLevel="0" collapsed="false">
      <c r="A32" s="13" t="s">
        <v>89</v>
      </c>
      <c r="B32" s="19" t="n">
        <f aca="false">Bear!G126</f>
        <v>0.244128</v>
      </c>
      <c r="C32" s="19" t="n">
        <f aca="false">Base!G126</f>
        <v>0.244128</v>
      </c>
      <c r="D32" s="19" t="n">
        <f aca="false">Bull!G126</f>
        <v>0.244128</v>
      </c>
    </row>
    <row r="33" customFormat="false" ht="15" hidden="false" customHeight="true" outlineLevel="0" collapsed="false">
      <c r="A33" s="13" t="s">
        <v>90</v>
      </c>
      <c r="B33" s="14" t="n">
        <f aca="false">IFERROR(Bear!G27/1000,"n/a")</f>
        <v>29.69601024</v>
      </c>
      <c r="C33" s="14" t="n">
        <f aca="false">IFERROR(Base!G27/1000,"n/a")</f>
        <v>340.41627</v>
      </c>
      <c r="D33" s="14" t="n">
        <f aca="false">IFERROR(Bull!G27/1000,"n/a")</f>
        <v>1564.47045</v>
      </c>
    </row>
    <row r="34" customFormat="false" ht="15" hidden="false" customHeight="true" outlineLevel="0" collapsed="false">
      <c r="A34" s="13" t="s">
        <v>91</v>
      </c>
      <c r="B34" s="22" t="n">
        <f aca="false">Bear!G36</f>
        <v>0.000742400256</v>
      </c>
      <c r="C34" s="22" t="n">
        <f aca="false">Base!G36</f>
        <v>0.00851040675</v>
      </c>
      <c r="D34" s="22" t="n">
        <f aca="false">Bull!G36</f>
        <v>0.03911176125</v>
      </c>
    </row>
    <row r="36" customFormat="false" ht="15" hidden="false" customHeight="true" outlineLevel="0" collapsed="false">
      <c r="A36" s="8" t="s">
        <v>92</v>
      </c>
      <c r="B36" s="9" t="s">
        <v>59</v>
      </c>
      <c r="C36" s="9" t="s">
        <v>60</v>
      </c>
      <c r="D36" s="9" t="s">
        <v>61</v>
      </c>
      <c r="E36" s="9"/>
    </row>
    <row r="37" customFormat="false" ht="15" hidden="false" customHeight="true" outlineLevel="0" collapsed="false">
      <c r="A37" s="10" t="s">
        <v>93</v>
      </c>
      <c r="B37" s="23" t="n">
        <f aca="false">Inputs!$B$101*Inputs!$B$102*(1-Inputs!$B$104-Inputs!$B$105-Inputs!$B$106)-Inputs!$B$103</f>
        <v>-0.38</v>
      </c>
      <c r="C37" s="23" t="n">
        <f aca="false">Inputs!$C$101*Inputs!$C$102*(1-Inputs!$C$104-Inputs!$C$105-Inputs!$C$106)-Inputs!$C$103</f>
        <v>0.36</v>
      </c>
      <c r="D37" s="23" t="n">
        <f aca="false">Inputs!$D$101*Inputs!$D$102*(1-Inputs!$D$104-Inputs!$D$105-Inputs!$D$106)-Inputs!$D$103</f>
        <v>1.408</v>
      </c>
    </row>
    <row r="38" customFormat="false" ht="15" hidden="false" customHeight="true" outlineLevel="0" collapsed="false">
      <c r="A38" s="10" t="s">
        <v>94</v>
      </c>
      <c r="B38" s="23" t="n">
        <f aca="false">(1-Bear!G126)*(Inputs!$B$101*Inputs!$B$102*(1-Inputs!$B$104-Inputs!$B$105-Inputs!$B$106)-Inputs!$B$103-CHOOSE(Inputs!$B$35,Inputs!$F$55*(Inputs!$B$101*Inputs!$B$102-Inputs!$B$103),Inputs!$B$36*Inputs!$B$101*Inputs!$B$102,0))</f>
        <v>-0.283452</v>
      </c>
      <c r="C38" s="23" t="n">
        <f aca="false">(1-Base!G126)*(Inputs!$C$101*Inputs!$C$102*(1-Inputs!$C$104-Inputs!$C$105-Inputs!$C$106)-Inputs!$C$103-CHOOSE(Inputs!$B$35,Inputs!$F$55*(Inputs!$C$101*Inputs!$C$102-Inputs!$C$103),Inputs!$B$36*Inputs!$C$101*Inputs!$C$102,0))</f>
        <v>0.23809968</v>
      </c>
      <c r="D38" s="23" t="n">
        <f aca="false">(1-Bull!G126)*(Inputs!$D$101*Inputs!$D$102*(1-Inputs!$D$104-Inputs!$D$105-Inputs!$D$106)-Inputs!$D$103-CHOOSE(Inputs!$B$35,Inputs!$F$55*(Inputs!$D$101*Inputs!$D$102-Inputs!$D$103),Inputs!$B$36*Inputs!$D$101*Inputs!$D$102,0))</f>
        <v>0.981121856</v>
      </c>
    </row>
    <row r="39" customFormat="false" ht="15" hidden="false" customHeight="true" outlineLevel="0" collapsed="false">
      <c r="A39" s="10" t="s">
        <v>95</v>
      </c>
      <c r="B39" s="15" t="n">
        <f aca="false">IFERROR(Bear!G191/1000-Bear!F191/1000,"n/a")</f>
        <v>-28.0858051073515</v>
      </c>
      <c r="C39" s="15" t="n">
        <f aca="false">IFERROR(Base!G191/1000-Base!F191/1000,"n/a")</f>
        <v>204.921251684529</v>
      </c>
      <c r="D39" s="15" t="n">
        <f aca="false">IFERROR(Bull!G191/1000-Bull!F191/1000,"n/a")</f>
        <v>2930.36732272556</v>
      </c>
    </row>
    <row r="40" customFormat="false" ht="15" hidden="false" customHeight="true" outlineLevel="0" collapsed="false">
      <c r="A40" s="13" t="s">
        <v>96</v>
      </c>
      <c r="B40" s="16" t="n">
        <f aca="false">IFERROR(Inputs!$B$103/(Inputs!$B$101*(1-Inputs!$B$104-Inputs!$B$105-Inputs!$B$106)),0)</f>
        <v>0.416666666666667</v>
      </c>
      <c r="C40" s="16" t="n">
        <f aca="false">IFERROR(Inputs!$C$103/(Inputs!$C$101*(1-Inputs!$C$104-Inputs!$C$105-Inputs!$C$106)),0)</f>
        <v>0.0681818181818182</v>
      </c>
      <c r="D40" s="16" t="n">
        <f aca="false">IFERROR(Inputs!$D$103/(Inputs!$D$101*(1-Inputs!$D$104-Inputs!$D$105-Inputs!$D$106)),0)</f>
        <v>0.0248756218905473</v>
      </c>
    </row>
    <row r="41" customFormat="false" ht="15" hidden="false" customHeight="true" outlineLevel="0" collapsed="false">
      <c r="A41" s="13" t="s">
        <v>97</v>
      </c>
      <c r="B41" s="16" t="n">
        <f aca="false">IFERROR(CHOOSE(Inputs!$B$35,Inputs!$B$103*(1-Inputs!$F$55)/(Inputs!$B$101*((1-Inputs!$B$104-Inputs!$B$105-Inputs!$B$106)-Inputs!$F$55)),Inputs!$B$103/(Inputs!$B$101*((1-Inputs!$B$104-Inputs!$B$105-Inputs!$B$106)-Inputs!$B$36)),Inputs!$B$103/(Inputs!$B$101*(1-Inputs!$B$104-Inputs!$B$105-Inputs!$B$106))),"n/a")</f>
        <v>0.475</v>
      </c>
      <c r="C41" s="16" t="n">
        <f aca="false">IFERROR(CHOOSE(Inputs!$B$35,Inputs!$C$103*(1-Inputs!$F$55)/(Inputs!$C$101*((1-Inputs!$C$104-Inputs!$C$105-Inputs!$C$106)-Inputs!$F$55)),Inputs!$C$103/(Inputs!$C$101*((1-Inputs!$C$104-Inputs!$C$105-Inputs!$C$106)-Inputs!$B$36)),Inputs!$C$103/(Inputs!$C$101*(1-Inputs!$C$104-Inputs!$C$105-Inputs!$C$106))),"n/a")</f>
        <v>0.07125</v>
      </c>
      <c r="D41" s="16" t="n">
        <f aca="false">IFERROR(CHOOSE(Inputs!$B$35,Inputs!$D$103*(1-Inputs!$F$55)/(Inputs!$D$101*((1-Inputs!$D$104-Inputs!$D$105-Inputs!$D$106)-Inputs!$F$55)),Inputs!$D$103/(Inputs!$D$101*((1-Inputs!$D$104-Inputs!$D$105-Inputs!$D$106)-Inputs!$B$36)),Inputs!$D$103/(Inputs!$D$101*(1-Inputs!$D$104-Inputs!$D$105-Inputs!$D$106))),"n/a")</f>
        <v>0.0255376344086022</v>
      </c>
    </row>
    <row r="42" customFormat="false" ht="15" hidden="false" customHeight="true" outlineLevel="0" collapsed="false">
      <c r="A42" s="13" t="s">
        <v>98</v>
      </c>
      <c r="B42" s="19" t="n">
        <f aca="false">Inputs!$B$102</f>
        <v>0.1</v>
      </c>
      <c r="C42" s="19" t="n">
        <f aca="false">Inputs!$C$102</f>
        <v>0.15</v>
      </c>
      <c r="D42" s="19" t="n">
        <f aca="false">Inputs!$D$102</f>
        <v>0.2</v>
      </c>
    </row>
    <row r="43" customFormat="false" ht="15" hidden="false" customHeight="true" outlineLevel="0" collapsed="false">
      <c r="A43" s="6" t="s">
        <v>99</v>
      </c>
    </row>
    <row r="44" customFormat="false" ht="15" hidden="false" customHeight="true" outlineLevel="0" collapsed="false">
      <c r="A44" s="10" t="s">
        <v>100</v>
      </c>
      <c r="B44" s="23" t="n">
        <f aca="false">IFERROR((Bear!G132-Bear!G130-(Bear!G76-Bear!G74))/Bear!G25,"n/a")</f>
        <v>-0.282666816856187</v>
      </c>
      <c r="C44" s="23" t="n">
        <f aca="false">IFERROR((Base!G132-Base!G130-(Base!G76-Base!G74))/Base!G25,"n/a")</f>
        <v>0.231006492834408</v>
      </c>
      <c r="D44" s="23" t="n">
        <f aca="false">IFERROR((Bull!G132-Bull!G130-(Bull!G76-Bull!G74))/Bull!G25,"n/a")</f>
        <v>0.963752533912757</v>
      </c>
    </row>
    <row r="45" customFormat="false" ht="15" hidden="false" customHeight="true" outlineLevel="0" collapsed="false">
      <c r="A45" s="8" t="s">
        <v>101</v>
      </c>
      <c r="B45" s="9" t="s">
        <v>102</v>
      </c>
      <c r="C45" s="9" t="s">
        <v>103</v>
      </c>
      <c r="D45" s="9"/>
      <c r="E45" s="9"/>
    </row>
    <row r="46" customFormat="false" ht="15" hidden="false" customHeight="true" outlineLevel="0" collapsed="false">
      <c r="A46" s="13" t="s">
        <v>104</v>
      </c>
      <c r="B46" s="24" t="n">
        <f aca="false">Inputs!$B$22/1000</f>
        <v>1500</v>
      </c>
      <c r="C46" s="24" t="n">
        <f aca="false">Inputs!$B$28/1000</f>
        <v>2000</v>
      </c>
    </row>
    <row r="47" customFormat="false" ht="15" hidden="false" customHeight="true" outlineLevel="0" collapsed="false">
      <c r="A47" s="13" t="s">
        <v>105</v>
      </c>
      <c r="B47" s="25" t="n">
        <f aca="false">IFERROR(B46*1000/Inputs!$B$18,0)</f>
        <v>83.786430988142</v>
      </c>
      <c r="C47" s="25" t="n">
        <f aca="false">IFERROR(C46*1000/Inputs!$B$18,0)</f>
        <v>111.715241317523</v>
      </c>
    </row>
    <row r="48" customFormat="false" ht="15" hidden="false" customHeight="true" outlineLevel="0" collapsed="false">
      <c r="A48" s="13" t="s">
        <v>106</v>
      </c>
      <c r="B48" s="16" t="n">
        <f aca="false">IFERROR($E$5/B47-1,"n/a")</f>
        <v>0.599219700533563</v>
      </c>
      <c r="C48" s="16" t="n">
        <f aca="false">IFERROR($E$5/C47-1,"n/a")</f>
        <v>0.199414775400172</v>
      </c>
    </row>
    <row r="49" customFormat="false" ht="15" hidden="false" customHeight="true" outlineLevel="0" collapsed="false">
      <c r="A49" s="13" t="s">
        <v>107</v>
      </c>
      <c r="B49" s="16" t="n">
        <f aca="false">IFERROR($C$5/B47-1,"n/a")</f>
        <v>0.0483142086413986</v>
      </c>
      <c r="C49" s="16" t="n">
        <f aca="false">IFERROR($C$5/C47-1,"n/a")</f>
        <v>-0.213764343518951</v>
      </c>
    </row>
    <row r="50" customFormat="false" ht="15" hidden="false" customHeight="true" outlineLevel="0" collapsed="false">
      <c r="A50" s="13" t="s">
        <v>108</v>
      </c>
      <c r="B50" s="16" t="n">
        <f aca="false">IFERROR($C$6/B47-1,"n/a")</f>
        <v>-0.0882999591482875</v>
      </c>
      <c r="C50" s="16" t="n">
        <f aca="false">IFERROR($C$6/C47-1,"n/a")</f>
        <v>-0.316224969361216</v>
      </c>
    </row>
    <row r="52" customFormat="false" ht="15" hidden="false" customHeight="true" outlineLevel="0" collapsed="false">
      <c r="A52" s="8" t="s">
        <v>109</v>
      </c>
      <c r="B52" s="9" t="s">
        <v>74</v>
      </c>
      <c r="C52" s="9"/>
      <c r="D52" s="9"/>
      <c r="E52" s="9"/>
    </row>
    <row r="53" customFormat="false" ht="15" hidden="false" customHeight="true" outlineLevel="0" collapsed="false">
      <c r="A53" s="13" t="s">
        <v>110</v>
      </c>
      <c r="B53" s="26" t="n">
        <f aca="false">C46</f>
        <v>2000</v>
      </c>
    </row>
    <row r="54" customFormat="false" ht="15" hidden="false" customHeight="true" outlineLevel="0" collapsed="false">
      <c r="A54" s="13" t="s">
        <v>111</v>
      </c>
      <c r="B54" s="27" t="n">
        <f aca="false">C7</f>
        <v>1572.4713129621</v>
      </c>
    </row>
    <row r="55" customFormat="false" ht="15" hidden="false" customHeight="true" outlineLevel="0" collapsed="false">
      <c r="A55" s="13" t="s">
        <v>112</v>
      </c>
      <c r="B55" s="27" t="n">
        <f aca="false">IFERROR(B53-B54,"n/a")</f>
        <v>427.528687037902</v>
      </c>
    </row>
    <row r="56" customFormat="false" ht="15" hidden="false" customHeight="true" outlineLevel="0" collapsed="false">
      <c r="A56" s="13" t="s">
        <v>113</v>
      </c>
      <c r="B56" s="27" t="n">
        <f aca="false">IFERROR(C7-C8,"n/a")</f>
        <v>204.921251684529</v>
      </c>
    </row>
    <row r="57" customFormat="false" ht="15" hidden="false" customHeight="true" outlineLevel="0" collapsed="false">
      <c r="A57" s="13" t="s">
        <v>114</v>
      </c>
      <c r="B57" s="28" t="n">
        <f aca="false">IF(NOT(ISNUMBER(B56)),"n/a",IF(B56&lt;=0,"n/a",MAX(0,1+B55/B56)))</f>
        <v>3.08630722057111</v>
      </c>
    </row>
    <row r="58" customFormat="false" ht="15" hidden="false" customHeight="true" outlineLevel="0" collapsed="false">
      <c r="A58" s="13" t="s">
        <v>115</v>
      </c>
      <c r="B58" s="16" t="n">
        <f aca="false">IF(ISNUMBER(B57),Inputs!$C$100*B57,"n/a")</f>
        <v>0.462946083085666</v>
      </c>
    </row>
    <row r="59" customFormat="false" ht="15" hidden="false" customHeight="true" outlineLevel="0" collapsed="false">
      <c r="A59" s="13" t="s">
        <v>116</v>
      </c>
      <c r="B59" s="19" t="n">
        <f aca="false">Inputs!$C$100</f>
        <v>0.15</v>
      </c>
    </row>
    <row r="60" customFormat="false" ht="15" hidden="false" customHeight="true" outlineLevel="0" collapsed="false">
      <c r="A60" s="13" t="s">
        <v>117</v>
      </c>
      <c r="B60" s="29" t="str">
        <f aca="false">IF(AND(Base!D67=0,Base!D123=0,Base!D62=0,Base!D118=0,Base!G90=0,Base!G146=0,Base!G109&gt;0,Base!D53&gt;0),"Yes","Approximate — verify")</f>
        <v>Yes</v>
      </c>
    </row>
    <row r="61" customFormat="false" ht="15" hidden="false" customHeight="true" outlineLevel="0" collapsed="false">
      <c r="A61" s="6" t="s">
        <v>118</v>
      </c>
    </row>
    <row r="63" customFormat="false" ht="15" hidden="false" customHeight="true" outlineLevel="0" collapsed="false">
      <c r="A63" s="8" t="s">
        <v>119</v>
      </c>
      <c r="B63" s="9" t="s">
        <v>120</v>
      </c>
      <c r="C63" s="9" t="s">
        <v>121</v>
      </c>
      <c r="D63" s="9" t="s">
        <v>122</v>
      </c>
      <c r="E63" s="9" t="s">
        <v>123</v>
      </c>
    </row>
    <row r="64" customFormat="false" ht="15" hidden="false" customHeight="true" outlineLevel="0" collapsed="false">
      <c r="A64" s="13" t="s">
        <v>124</v>
      </c>
      <c r="B64" s="11" t="n">
        <f aca="false">Base!G189</f>
        <v>87.8345060962213</v>
      </c>
      <c r="C64" s="11" t="n">
        <f aca="false">T21!G189</f>
        <v>91.5807994210245</v>
      </c>
      <c r="D64" s="11" t="n">
        <f aca="false">T25!G189</f>
        <v>87.0824028435464</v>
      </c>
      <c r="E64" s="11" t="n">
        <f aca="false">T28!G189</f>
        <v>83.7086054104379</v>
      </c>
    </row>
    <row r="65" customFormat="false" ht="15" hidden="false" customHeight="true" outlineLevel="0" collapsed="false">
      <c r="A65" s="13" t="s">
        <v>125</v>
      </c>
      <c r="B65" s="11" t="n">
        <f aca="false">Base!F189</f>
        <v>76.3880925547083</v>
      </c>
      <c r="C65" s="11" t="n">
        <f aca="false">T21!F189</f>
        <v>79.586101634723</v>
      </c>
      <c r="D65" s="11" t="n">
        <f aca="false">T25!F189</f>
        <v>75.7306305922973</v>
      </c>
      <c r="E65" s="11" t="n">
        <f aca="false">T28!F189</f>
        <v>72.839027310478</v>
      </c>
    </row>
    <row r="66" customFormat="false" ht="15" hidden="false" customHeight="true" outlineLevel="0" collapsed="false">
      <c r="A66" s="6" t="s">
        <v>126</v>
      </c>
    </row>
    <row r="68" customFormat="false" ht="15" hidden="false" customHeight="true" outlineLevel="0" collapsed="false">
      <c r="A68" s="8" t="s">
        <v>127</v>
      </c>
      <c r="B68" s="9" t="s">
        <v>74</v>
      </c>
      <c r="C68" s="9"/>
      <c r="D68" s="9"/>
      <c r="E68" s="9"/>
    </row>
    <row r="69" customFormat="false" ht="15" hidden="false" customHeight="true" outlineLevel="0" collapsed="false">
      <c r="A69" s="13" t="s">
        <v>128</v>
      </c>
      <c r="B69" s="14" t="n">
        <f aca="false">Historicals!G5/1000</f>
        <v>11.555</v>
      </c>
    </row>
    <row r="70" customFormat="false" ht="15" hidden="false" customHeight="true" outlineLevel="0" collapsed="false">
      <c r="A70" s="13" t="s">
        <v>129</v>
      </c>
      <c r="B70" s="19" t="n">
        <f aca="false">Historicals!G27</f>
        <v>0.0842925140631761</v>
      </c>
    </row>
    <row r="71" customFormat="false" ht="15" hidden="false" customHeight="true" outlineLevel="0" collapsed="false">
      <c r="A71" s="13" t="s">
        <v>130</v>
      </c>
      <c r="B71" s="19" t="n">
        <f aca="false">Historicals!G28</f>
        <v>0.19342276070965</v>
      </c>
    </row>
    <row r="72" customFormat="false" ht="15" hidden="false" customHeight="true" outlineLevel="0" collapsed="false">
      <c r="A72" s="13" t="s">
        <v>131</v>
      </c>
      <c r="B72" s="19" t="n">
        <f aca="false">Historicals!G23</f>
        <v>0.481003894418001</v>
      </c>
    </row>
    <row r="73" customFormat="false" ht="15" hidden="false" customHeight="true" outlineLevel="0" collapsed="false">
      <c r="A73" s="13" t="s">
        <v>132</v>
      </c>
      <c r="B73" s="19" t="n">
        <f aca="false">Historicals!F61</f>
        <v>0.211654181505588</v>
      </c>
    </row>
    <row r="74" customFormat="false" ht="15" hidden="false" customHeight="true" outlineLevel="0" collapsed="false">
      <c r="A74" s="13" t="s">
        <v>133</v>
      </c>
      <c r="B74" s="14" t="n">
        <f aca="false">Historicals!G31/1000</f>
        <v>6.824</v>
      </c>
    </row>
    <row r="75" customFormat="false" ht="15" hidden="false" customHeight="true" outlineLevel="0" collapsed="false">
      <c r="A75" s="13" t="s">
        <v>134</v>
      </c>
      <c r="B75" s="14" t="n">
        <f aca="false">(Historicals!H5-Historicals!G5)/1000</f>
        <v>5.387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4" min="2" style="0" width="26"/>
  </cols>
  <sheetData>
    <row r="1" customFormat="false" ht="17.35" hidden="false" customHeight="false" outlineLevel="0" collapsed="false">
      <c r="A1" s="1" t="s">
        <v>135</v>
      </c>
    </row>
    <row r="2" customFormat="false" ht="15" hidden="false" customHeight="false" outlineLevel="0" collapsed="false">
      <c r="A2" s="30" t="s">
        <v>136</v>
      </c>
    </row>
    <row r="4" customFormat="false" ht="15" hidden="false" customHeight="false" outlineLevel="0" collapsed="false">
      <c r="A4" s="31" t="s">
        <v>137</v>
      </c>
      <c r="B4" s="31" t="s">
        <v>138</v>
      </c>
    </row>
    <row r="5" customFormat="false" ht="15" hidden="false" customHeight="false" outlineLevel="0" collapsed="false">
      <c r="A5" s="3" t="s">
        <v>139</v>
      </c>
      <c r="B5" s="3" t="s">
        <v>140</v>
      </c>
    </row>
    <row r="6" customFormat="false" ht="15" hidden="false" customHeight="false" outlineLevel="0" collapsed="false">
      <c r="A6" s="3" t="s">
        <v>141</v>
      </c>
      <c r="B6" s="3" t="s">
        <v>142</v>
      </c>
    </row>
    <row r="7" customFormat="false" ht="15" hidden="false" customHeight="false" outlineLevel="0" collapsed="false">
      <c r="A7" s="3" t="s">
        <v>143</v>
      </c>
      <c r="B7" s="3" t="s">
        <v>144</v>
      </c>
    </row>
    <row r="8" customFormat="false" ht="15" hidden="false" customHeight="false" outlineLevel="0" collapsed="false">
      <c r="A8" s="3" t="s">
        <v>145</v>
      </c>
      <c r="B8" s="3" t="s">
        <v>146</v>
      </c>
    </row>
    <row r="10" customFormat="false" ht="15" hidden="false" customHeight="false" outlineLevel="0" collapsed="false">
      <c r="A10" s="31" t="s">
        <v>147</v>
      </c>
      <c r="B10" s="31" t="s">
        <v>138</v>
      </c>
    </row>
    <row r="11" customFormat="false" ht="15" hidden="false" customHeight="false" outlineLevel="0" collapsed="false">
      <c r="A11" s="3" t="s">
        <v>148</v>
      </c>
      <c r="B11" s="3" t="s">
        <v>149</v>
      </c>
    </row>
    <row r="12" customFormat="false" ht="15" hidden="false" customHeight="false" outlineLevel="0" collapsed="false">
      <c r="A12" s="3" t="s">
        <v>150</v>
      </c>
      <c r="B12" s="3" t="s">
        <v>151</v>
      </c>
    </row>
    <row r="13" customFormat="false" ht="15" hidden="false" customHeight="false" outlineLevel="0" collapsed="false">
      <c r="A13" s="3" t="s">
        <v>152</v>
      </c>
      <c r="B13" s="3" t="s">
        <v>153</v>
      </c>
    </row>
    <row r="15" customFormat="false" ht="15" hidden="false" customHeight="false" outlineLevel="0" collapsed="false">
      <c r="A15" s="31" t="s">
        <v>154</v>
      </c>
      <c r="B15" s="31" t="s">
        <v>138</v>
      </c>
    </row>
    <row r="16" customFormat="false" ht="15" hidden="false" customHeight="false" outlineLevel="0" collapsed="false">
      <c r="A16" s="3" t="s">
        <v>155</v>
      </c>
      <c r="B16" s="3" t="s">
        <v>156</v>
      </c>
    </row>
    <row r="17" customFormat="false" ht="15" hidden="false" customHeight="false" outlineLevel="0" collapsed="false">
      <c r="A17" s="3" t="s">
        <v>157</v>
      </c>
      <c r="B17" s="3" t="s">
        <v>158</v>
      </c>
    </row>
    <row r="18" customFormat="false" ht="15" hidden="false" customHeight="false" outlineLevel="0" collapsed="false">
      <c r="A18" s="3" t="s">
        <v>159</v>
      </c>
      <c r="B18" s="3" t="s">
        <v>160</v>
      </c>
    </row>
    <row r="19" customFormat="false" ht="15" hidden="false" customHeight="false" outlineLevel="0" collapsed="false">
      <c r="A19" s="3" t="s">
        <v>161</v>
      </c>
      <c r="B19" s="3" t="s">
        <v>162</v>
      </c>
    </row>
    <row r="20" customFormat="false" ht="15" hidden="false" customHeight="false" outlineLevel="0" collapsed="false">
      <c r="A20" s="3" t="s">
        <v>163</v>
      </c>
      <c r="B20" s="3" t="s">
        <v>164</v>
      </c>
    </row>
    <row r="21" customFormat="false" ht="15" hidden="false" customHeight="false" outlineLevel="0" collapsed="false">
      <c r="A21" s="3" t="s">
        <v>165</v>
      </c>
      <c r="B21" s="3" t="s">
        <v>166</v>
      </c>
    </row>
    <row r="22" customFormat="false" ht="15" hidden="false" customHeight="false" outlineLevel="0" collapsed="false">
      <c r="A22" s="3" t="s">
        <v>167</v>
      </c>
      <c r="B22" s="3" t="s">
        <v>168</v>
      </c>
    </row>
    <row r="23" customFormat="false" ht="15" hidden="false" customHeight="false" outlineLevel="0" collapsed="false">
      <c r="A23" s="3" t="s">
        <v>169</v>
      </c>
      <c r="B23" s="3" t="s">
        <v>170</v>
      </c>
    </row>
    <row r="24" customFormat="false" ht="15" hidden="false" customHeight="false" outlineLevel="0" collapsed="false">
      <c r="A24" s="3" t="s">
        <v>171</v>
      </c>
      <c r="B24" s="3" t="s">
        <v>172</v>
      </c>
    </row>
    <row r="26" customFormat="false" ht="15" hidden="false" customHeight="false" outlineLevel="0" collapsed="false">
      <c r="A26" s="31" t="s">
        <v>173</v>
      </c>
      <c r="B26" s="31" t="s">
        <v>138</v>
      </c>
    </row>
    <row r="27" customFormat="false" ht="15" hidden="false" customHeight="false" outlineLevel="0" collapsed="false">
      <c r="A27" s="3" t="s">
        <v>174</v>
      </c>
      <c r="B27" s="3" t="s">
        <v>175</v>
      </c>
    </row>
    <row r="28" customFormat="false" ht="15" hidden="false" customHeight="false" outlineLevel="0" collapsed="false">
      <c r="A28" s="3" t="s">
        <v>176</v>
      </c>
      <c r="B28" s="3" t="s">
        <v>177</v>
      </c>
    </row>
    <row r="29" customFormat="false" ht="15" hidden="false" customHeight="false" outlineLevel="0" collapsed="false">
      <c r="A29" s="3" t="s">
        <v>178</v>
      </c>
      <c r="B29" s="3" t="s">
        <v>179</v>
      </c>
    </row>
    <row r="30" customFormat="false" ht="15" hidden="false" customHeight="false" outlineLevel="0" collapsed="false">
      <c r="A30" s="3" t="s">
        <v>180</v>
      </c>
      <c r="B30" s="3" t="s">
        <v>181</v>
      </c>
    </row>
    <row r="32" customFormat="false" ht="15" hidden="false" customHeight="false" outlineLevel="0" collapsed="false">
      <c r="A32" s="31" t="s">
        <v>182</v>
      </c>
      <c r="B32" s="31" t="s">
        <v>183</v>
      </c>
      <c r="C32" s="31" t="s">
        <v>184</v>
      </c>
      <c r="D32" s="31" t="s">
        <v>185</v>
      </c>
    </row>
    <row r="33" customFormat="false" ht="15" hidden="false" customHeight="false" outlineLevel="0" collapsed="false">
      <c r="A33" s="3" t="s">
        <v>186</v>
      </c>
      <c r="B33" s="3" t="s">
        <v>187</v>
      </c>
      <c r="C33" s="32" t="n">
        <f aca="false">S7!G185</f>
        <v>83.9138069562659</v>
      </c>
      <c r="D33" s="3" t="str">
        <f aca="false">IF(AND(C33&gt;83.5,C33&lt;84.1),"Pass","Review")</f>
        <v>Pass</v>
      </c>
    </row>
    <row r="34" customFormat="false" ht="15" hidden="false" customHeight="false" outlineLevel="0" collapsed="false">
      <c r="A34" s="3" t="s">
        <v>188</v>
      </c>
      <c r="B34" s="3" t="s">
        <v>189</v>
      </c>
      <c r="C34" s="32" t="n">
        <f aca="false">S7!G146/1000</f>
        <v>64.682089474339</v>
      </c>
      <c r="D34" s="3" t="str">
        <f aca="false">IF(ABS(C34-64.68)&lt;0.05,"Pass","Review")</f>
        <v>Pass</v>
      </c>
    </row>
    <row r="35" customFormat="false" ht="15" hidden="false" customHeight="false" outlineLevel="0" collapsed="false">
      <c r="A35" s="3" t="s">
        <v>190</v>
      </c>
      <c r="B35" s="3" t="s">
        <v>191</v>
      </c>
      <c r="C35" s="32" t="n">
        <f aca="false">S7!G147/1000</f>
        <v>59.682089474339</v>
      </c>
      <c r="D35" s="3" t="str">
        <f aca="false">IF(ABS(C35-59.68)&lt;0.05,"Pass","Review")</f>
        <v>Pass</v>
      </c>
    </row>
    <row r="36" customFormat="false" ht="15" hidden="false" customHeight="false" outlineLevel="0" collapsed="false">
      <c r="A36" s="3" t="s">
        <v>192</v>
      </c>
      <c r="B36" s="3" t="s">
        <v>193</v>
      </c>
      <c r="C36" s="32" t="n">
        <f aca="false">S7!D154/1000</f>
        <v>0.125</v>
      </c>
      <c r="D36" s="3" t="str">
        <f aca="false">IF(C36&gt;=0,"Info","Review")</f>
        <v>Info</v>
      </c>
    </row>
    <row r="37" customFormat="false" ht="15" hidden="false" customHeight="false" outlineLevel="0" collapsed="false">
      <c r="A37" s="3" t="s">
        <v>194</v>
      </c>
      <c r="B37" s="3" t="s">
        <v>195</v>
      </c>
      <c r="C37" s="32" t="n">
        <f aca="false">Summary!C5</f>
        <v>87.8345060962213</v>
      </c>
      <c r="D37" s="3" t="str">
        <f aca="false">IF(ABS(C37-87.84)&lt;0.05,"Pass","Review")</f>
        <v>Pass</v>
      </c>
    </row>
    <row r="38" customFormat="false" ht="15" hidden="false" customHeight="false" outlineLevel="0" collapsed="false">
      <c r="A38" s="3" t="s">
        <v>196</v>
      </c>
      <c r="B38" s="3" t="s">
        <v>197</v>
      </c>
      <c r="C38" s="32" t="n">
        <f aca="false">Summary!C6</f>
        <v>76.3880925547083</v>
      </c>
      <c r="D38" s="3" t="str">
        <f aca="false">IF(ABS(C38-76.4)&lt;0.05,"Pass","Review")</f>
        <v>Pass</v>
      </c>
    </row>
    <row r="39" customFormat="false" ht="15" hidden="false" customHeight="false" outlineLevel="0" collapsed="false">
      <c r="A39" s="3" t="s">
        <v>198</v>
      </c>
      <c r="B39" s="3" t="s">
        <v>199</v>
      </c>
      <c r="C39" s="32" t="n">
        <f aca="false">Summary!E5</f>
        <v>133.992911073633</v>
      </c>
      <c r="D39" s="3" t="str">
        <f aca="false">IF(ABS(C39-134)&lt;0.1,"Pass","Review")</f>
        <v>Pass</v>
      </c>
    </row>
    <row r="40" customFormat="false" ht="15" hidden="false" customHeight="false" outlineLevel="0" collapsed="false">
      <c r="A40" s="3" t="s">
        <v>200</v>
      </c>
      <c r="B40" s="3" t="s">
        <v>201</v>
      </c>
      <c r="C40" s="32" t="n">
        <f aca="false">S2!G189</f>
        <v>70.4557064166342</v>
      </c>
      <c r="D40" s="3" t="str">
        <f aca="false">IF(ABS(C40-70.46)&lt;0.01,"Pass","Review")</f>
        <v>Pass</v>
      </c>
    </row>
    <row r="41" customFormat="false" ht="15" hidden="false" customHeight="false" outlineLevel="0" collapsed="false">
      <c r="A41" s="3" t="s">
        <v>202</v>
      </c>
      <c r="B41" s="3" t="s">
        <v>203</v>
      </c>
      <c r="C41" s="32" t="n">
        <f aca="false">S2!G10/Base!G10-1</f>
        <v>0.2</v>
      </c>
      <c r="D41" s="3" t="str">
        <f aca="false">IF(ABS(C41-0.2)&lt;0.0001,"Pass","Review")</f>
        <v>Pass</v>
      </c>
    </row>
    <row r="42" customFormat="false" ht="15" hidden="false" customHeight="false" outlineLevel="0" collapsed="false">
      <c r="A42" s="3" t="s">
        <v>204</v>
      </c>
      <c r="B42" s="3" t="s">
        <v>205</v>
      </c>
      <c r="C42" s="32" t="n">
        <f aca="false">S2!C10-Base!C10</f>
        <v>0</v>
      </c>
      <c r="D42" s="3" t="str">
        <f aca="false">IF(C42=0,"Pass","Review")</f>
        <v>Pass</v>
      </c>
    </row>
    <row r="43" customFormat="false" ht="15" hidden="false" customHeight="false" outlineLevel="0" collapsed="false">
      <c r="A43" s="3" t="s">
        <v>206</v>
      </c>
      <c r="B43" s="3" t="s">
        <v>207</v>
      </c>
      <c r="C43" s="32" t="n">
        <f aca="false">S7!G146/1000</f>
        <v>64.682089474339</v>
      </c>
      <c r="D43" s="3" t="str">
        <f aca="false">IF(ABS(C43-(205-S7!D136/1000))&lt;0.01,"Pass","Review")</f>
        <v>Pass</v>
      </c>
    </row>
    <row r="44" customFormat="false" ht="15" hidden="false" customHeight="false" outlineLevel="0" collapsed="false">
      <c r="A44" s="3" t="s">
        <v>208</v>
      </c>
      <c r="B44" s="3" t="s">
        <v>209</v>
      </c>
      <c r="C44" s="32" t="n">
        <f aca="false">COUNTIF(S7!C158:G158,"No")</f>
        <v>0</v>
      </c>
      <c r="D44" s="3" t="str">
        <f aca="false">IF(C44=0,"Pass","Review")</f>
        <v>Pass</v>
      </c>
    </row>
    <row r="45" customFormat="false" ht="15" hidden="false" customHeight="false" outlineLevel="0" collapsed="false">
      <c r="A45" s="3" t="s">
        <v>210</v>
      </c>
      <c r="B45" s="3" t="s">
        <v>211</v>
      </c>
      <c r="C45" s="32" t="n">
        <f aca="false">S7!G46/1000</f>
        <v>0</v>
      </c>
      <c r="D45" s="3" t="str">
        <f aca="false">IF(ABS(C45)&lt;0.001,"Pass","Review")</f>
        <v>Pass</v>
      </c>
    </row>
    <row r="46" customFormat="false" ht="15" hidden="false" customHeight="false" outlineLevel="0" collapsed="false">
      <c r="A46" s="3" t="s">
        <v>212</v>
      </c>
      <c r="B46" s="3" t="s">
        <v>213</v>
      </c>
      <c r="C46" s="32" t="n">
        <f aca="false">S7!E45/1000-S7!E44/1000</f>
        <v>0</v>
      </c>
      <c r="D46" s="3" t="str">
        <f aca="false">IF(ABS(C46)&lt;0.001,"Pass","Review")</f>
        <v>Pass</v>
      </c>
    </row>
    <row r="47" customFormat="false" ht="15" hidden="false" customHeight="false" outlineLevel="0" collapsed="false">
      <c r="A47" s="3" t="s">
        <v>214</v>
      </c>
      <c r="B47" s="3" t="s">
        <v>215</v>
      </c>
      <c r="C47" s="3" t="s">
        <v>216</v>
      </c>
      <c r="D47" s="3" t="s">
        <v>217</v>
      </c>
    </row>
    <row r="48" customFormat="false" ht="15" hidden="false" customHeight="false" outlineLevel="0" collapsed="false">
      <c r="A48" s="3" t="s">
        <v>218</v>
      </c>
      <c r="B48" s="3" t="s">
        <v>211</v>
      </c>
      <c r="C48" s="3" t="s">
        <v>219</v>
      </c>
      <c r="D48" s="3" t="s">
        <v>217</v>
      </c>
    </row>
    <row r="49" customFormat="false" ht="15" hidden="false" customHeight="false" outlineLevel="0" collapsed="false">
      <c r="A49" s="3" t="s">
        <v>220</v>
      </c>
      <c r="B49" s="3" t="s">
        <v>181</v>
      </c>
      <c r="C49" s="3" t="s">
        <v>221</v>
      </c>
      <c r="D49" s="3" t="s">
        <v>222</v>
      </c>
    </row>
    <row r="50" customFormat="false" ht="15" hidden="false" customHeight="false" outlineLevel="0" collapsed="false">
      <c r="A50" s="3" t="s">
        <v>223</v>
      </c>
      <c r="B50" s="3" t="s">
        <v>224</v>
      </c>
      <c r="C50" s="3" t="s">
        <v>225</v>
      </c>
      <c r="D50" s="3" t="s">
        <v>217</v>
      </c>
    </row>
    <row r="51" customFormat="false" ht="15" hidden="false" customHeight="false" outlineLevel="0" collapsed="false">
      <c r="A51" s="3" t="s">
        <v>226</v>
      </c>
      <c r="B51" s="3" t="s">
        <v>227</v>
      </c>
      <c r="C51" s="3" t="s">
        <v>228</v>
      </c>
      <c r="D51" s="3" t="s">
        <v>217</v>
      </c>
    </row>
    <row r="52" customFormat="false" ht="15" hidden="false" customHeight="false" outlineLevel="0" collapsed="false">
      <c r="A52" s="3" t="s">
        <v>229</v>
      </c>
      <c r="B52" s="3" t="s">
        <v>224</v>
      </c>
      <c r="C52" s="3" t="s">
        <v>225</v>
      </c>
      <c r="D52" s="3" t="s">
        <v>217</v>
      </c>
    </row>
    <row r="53" customFormat="false" ht="15" hidden="false" customHeight="false" outlineLevel="0" collapsed="false">
      <c r="A53" s="3" t="s">
        <v>230</v>
      </c>
      <c r="B53" s="3" t="s">
        <v>231</v>
      </c>
      <c r="C53" s="3" t="s">
        <v>232</v>
      </c>
      <c r="D53" s="3" t="s">
        <v>217</v>
      </c>
    </row>
    <row r="54" customFormat="false" ht="15" hidden="false" customHeight="false" outlineLevel="0" collapsed="false">
      <c r="A54" s="3" t="s">
        <v>233</v>
      </c>
      <c r="B54" s="3" t="s">
        <v>234</v>
      </c>
      <c r="C54" s="3" t="s">
        <v>235</v>
      </c>
      <c r="D54" s="3" t="s">
        <v>217</v>
      </c>
    </row>
    <row r="56" customFormat="false" ht="15" hidden="false" customHeight="false" outlineLevel="0" collapsed="false">
      <c r="A56" s="30" t="s">
        <v>236</v>
      </c>
    </row>
    <row r="57" customFormat="false" ht="15" hidden="false" customHeight="false" outlineLevel="0" collapsed="false">
      <c r="A57" s="30" t="s">
        <v>237</v>
      </c>
    </row>
    <row r="58" customFormat="false" ht="15" hidden="false" customHeight="false" outlineLevel="0" collapsed="false">
      <c r="A58" s="30"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58"/>
    <col collapsed="false" customWidth="true" hidden="false" outlineLevel="0" max="8" min="2" style="4" width="14"/>
  </cols>
  <sheetData>
    <row r="1" customFormat="false" ht="17.25" hidden="false" customHeight="true" outlineLevel="0" collapsed="false">
      <c r="A1" s="5" t="s">
        <v>239</v>
      </c>
    </row>
    <row r="2" customFormat="false" ht="15" hidden="false" customHeight="true" outlineLevel="0" collapsed="false">
      <c r="A2" s="6" t="s">
        <v>240</v>
      </c>
    </row>
    <row r="4" customFormat="false" ht="15" hidden="false" customHeight="true" outlineLevel="0" collapsed="false">
      <c r="A4" s="8" t="s">
        <v>241</v>
      </c>
      <c r="B4" s="9" t="s">
        <v>242</v>
      </c>
      <c r="C4" s="9" t="s">
        <v>243</v>
      </c>
      <c r="D4" s="9" t="s">
        <v>244</v>
      </c>
      <c r="E4" s="9" t="s">
        <v>245</v>
      </c>
      <c r="F4" s="9" t="s">
        <v>246</v>
      </c>
      <c r="G4" s="9" t="s">
        <v>247</v>
      </c>
      <c r="H4" s="9" t="s">
        <v>248</v>
      </c>
    </row>
    <row r="5" customFormat="false" ht="15" hidden="false" customHeight="true" outlineLevel="0" collapsed="false">
      <c r="A5" s="13" t="s">
        <v>249</v>
      </c>
      <c r="B5" s="33" t="n">
        <v>376</v>
      </c>
      <c r="C5" s="33" t="n">
        <v>787</v>
      </c>
      <c r="D5" s="33" t="n">
        <v>1382</v>
      </c>
      <c r="E5" s="33" t="n">
        <v>2040</v>
      </c>
      <c r="F5" s="33" t="n">
        <v>4731</v>
      </c>
      <c r="G5" s="33" t="n">
        <v>11555</v>
      </c>
      <c r="H5" s="34" t="n">
        <f aca="false">B66*B67</f>
        <v>16942</v>
      </c>
    </row>
    <row r="6" customFormat="false" ht="15" hidden="false" customHeight="true" outlineLevel="0" collapsed="false">
      <c r="A6" s="13" t="s">
        <v>250</v>
      </c>
      <c r="B6" s="33" t="n">
        <v>944</v>
      </c>
      <c r="C6" s="33" t="n">
        <v>1390</v>
      </c>
      <c r="D6" s="33" t="n">
        <v>2047</v>
      </c>
      <c r="E6" s="33" t="n">
        <v>2945</v>
      </c>
      <c r="F6" s="33" t="n">
        <v>3387</v>
      </c>
      <c r="G6" s="33" t="n">
        <v>5558</v>
      </c>
    </row>
    <row r="7" customFormat="false" ht="15" hidden="false" customHeight="true" outlineLevel="0" collapsed="false">
      <c r="A7" s="13" t="s">
        <v>251</v>
      </c>
      <c r="B7" s="33" t="n">
        <v>218</v>
      </c>
      <c r="C7" s="33" t="n">
        <v>320</v>
      </c>
      <c r="D7" s="33" t="n">
        <v>489</v>
      </c>
      <c r="E7" s="33" t="n">
        <v>812</v>
      </c>
      <c r="F7" s="33" t="n">
        <v>1295</v>
      </c>
      <c r="G7" s="33" t="n">
        <v>1857</v>
      </c>
    </row>
    <row r="8" customFormat="false" ht="15" hidden="false" customHeight="true" outlineLevel="0" collapsed="false">
      <c r="A8" s="13" t="s">
        <v>252</v>
      </c>
      <c r="B8" s="33" t="n">
        <v>0</v>
      </c>
      <c r="C8" s="33" t="n">
        <v>0</v>
      </c>
      <c r="D8" s="33" t="n">
        <v>1500</v>
      </c>
      <c r="E8" s="33" t="n">
        <v>0</v>
      </c>
      <c r="F8" s="33" t="n">
        <v>0</v>
      </c>
      <c r="G8" s="33" t="n">
        <v>0</v>
      </c>
    </row>
    <row r="9" customFormat="false" ht="15" hidden="false" customHeight="true" outlineLevel="0" collapsed="false">
      <c r="A9" s="13" t="s">
        <v>253</v>
      </c>
      <c r="B9" s="33" t="n">
        <v>24</v>
      </c>
      <c r="C9" s="33" t="n">
        <v>96</v>
      </c>
      <c r="D9" s="33" t="n">
        <v>202</v>
      </c>
      <c r="E9" s="33" t="n">
        <v>246</v>
      </c>
      <c r="F9" s="33" t="n">
        <v>1033</v>
      </c>
      <c r="G9" s="33" t="n">
        <v>2135</v>
      </c>
    </row>
    <row r="10" customFormat="false" ht="15" hidden="false" customHeight="true" outlineLevel="0" collapsed="false">
      <c r="A10" s="13" t="s">
        <v>254</v>
      </c>
      <c r="B10" s="33" t="n">
        <v>125</v>
      </c>
      <c r="C10" s="33" t="n">
        <v>181</v>
      </c>
      <c r="D10" s="33" t="n">
        <v>233</v>
      </c>
      <c r="E10" s="33" t="n">
        <v>873</v>
      </c>
      <c r="F10" s="33" t="n">
        <v>683</v>
      </c>
      <c r="G10" s="33" t="n">
        <v>1031</v>
      </c>
    </row>
    <row r="11" customFormat="false" ht="15" hidden="false" customHeight="true" outlineLevel="0" collapsed="false">
      <c r="A11" s="10" t="s">
        <v>255</v>
      </c>
      <c r="B11" s="35" t="n">
        <f aca="false">SUM(B6:B10)</f>
        <v>1311</v>
      </c>
      <c r="C11" s="35" t="n">
        <f aca="false">SUM(C6:C10)</f>
        <v>1987</v>
      </c>
      <c r="D11" s="35" t="n">
        <f aca="false">SUM(D6:D10)</f>
        <v>4471</v>
      </c>
      <c r="E11" s="35" t="n">
        <f aca="false">SUM(E6:E10)</f>
        <v>4876</v>
      </c>
      <c r="F11" s="35" t="n">
        <f aca="false">SUM(F6:F10)</f>
        <v>6398</v>
      </c>
      <c r="G11" s="35" t="n">
        <f aca="false">SUM(G6:G10)</f>
        <v>10581</v>
      </c>
    </row>
    <row r="12" customFormat="false" ht="15" hidden="false" customHeight="true" outlineLevel="0" collapsed="false">
      <c r="A12" s="10" t="s">
        <v>256</v>
      </c>
      <c r="B12" s="35" t="n">
        <f aca="false">B5-B11</f>
        <v>-935</v>
      </c>
      <c r="C12" s="35" t="n">
        <f aca="false">C5-C11</f>
        <v>-1200</v>
      </c>
      <c r="D12" s="35" t="n">
        <f aca="false">D5-D11</f>
        <v>-3089</v>
      </c>
      <c r="E12" s="35" t="n">
        <f aca="false">E5-E11</f>
        <v>-2836</v>
      </c>
      <c r="F12" s="35" t="n">
        <f aca="false">F5-F11</f>
        <v>-1667</v>
      </c>
      <c r="G12" s="35" t="n">
        <f aca="false">G5-G11</f>
        <v>974</v>
      </c>
    </row>
    <row r="13" customFormat="false" ht="15" hidden="false" customHeight="true" outlineLevel="0" collapsed="false">
      <c r="A13" s="13" t="s">
        <v>257</v>
      </c>
      <c r="B13" s="33" t="n">
        <v>51</v>
      </c>
      <c r="C13" s="33" t="n">
        <v>64</v>
      </c>
      <c r="D13" s="33" t="n">
        <v>124</v>
      </c>
      <c r="E13" s="33" t="n">
        <v>192</v>
      </c>
      <c r="F13" s="33" t="n">
        <v>349</v>
      </c>
      <c r="G13" s="33" t="n">
        <v>762</v>
      </c>
    </row>
    <row r="14" customFormat="false" ht="15" hidden="false" customHeight="true" outlineLevel="0" collapsed="false">
      <c r="A14" s="13" t="s">
        <v>258</v>
      </c>
      <c r="B14" s="33" t="n">
        <v>-5701</v>
      </c>
      <c r="C14" s="33" t="n">
        <v>-5241</v>
      </c>
      <c r="D14" s="33" t="n">
        <v>-9165</v>
      </c>
      <c r="E14" s="33" t="n">
        <v>-14201</v>
      </c>
      <c r="F14" s="33" t="n">
        <v>-12791</v>
      </c>
      <c r="G14" s="33" t="n">
        <v>-59597</v>
      </c>
    </row>
    <row r="15" customFormat="false" ht="15" hidden="false" customHeight="true" outlineLevel="0" collapsed="false">
      <c r="A15" s="13" t="s">
        <v>259</v>
      </c>
      <c r="B15" s="33" t="n">
        <v>0</v>
      </c>
      <c r="C15" s="33" t="n">
        <v>0</v>
      </c>
      <c r="D15" s="33" t="n">
        <v>-3</v>
      </c>
      <c r="E15" s="33" t="n">
        <v>-5</v>
      </c>
      <c r="F15" s="33" t="n">
        <v>-309</v>
      </c>
      <c r="G15" s="33" t="n">
        <v>-8448</v>
      </c>
    </row>
    <row r="16" customFormat="false" ht="15" hidden="false" customHeight="true" outlineLevel="0" collapsed="false">
      <c r="A16" s="13" t="s">
        <v>260</v>
      </c>
      <c r="B16" s="34" t="n">
        <f aca="false">B12+B13+B14+B15</f>
        <v>-6585</v>
      </c>
      <c r="C16" s="34" t="n">
        <f aca="false">C12+C13+C14+C15</f>
        <v>-6377</v>
      </c>
      <c r="D16" s="34" t="n">
        <f aca="false">D12+D13+D14+D15</f>
        <v>-12133</v>
      </c>
      <c r="E16" s="34" t="n">
        <f aca="false">E12+E13+E14+E15</f>
        <v>-16850</v>
      </c>
      <c r="F16" s="34" t="n">
        <f aca="false">F12+F13+F14+F15</f>
        <v>-14418</v>
      </c>
      <c r="G16" s="34" t="n">
        <f aca="false">G12+G13+G14+G15</f>
        <v>-66309</v>
      </c>
    </row>
    <row r="17" customFormat="false" ht="15" hidden="false" customHeight="true" outlineLevel="0" collapsed="false">
      <c r="A17" s="13" t="s">
        <v>261</v>
      </c>
      <c r="B17" s="33" t="n">
        <v>7</v>
      </c>
      <c r="C17" s="33" t="n">
        <v>0</v>
      </c>
      <c r="D17" s="33" t="n">
        <v>5</v>
      </c>
      <c r="E17" s="33" t="n">
        <v>8</v>
      </c>
      <c r="F17" s="33" t="n">
        <v>21</v>
      </c>
      <c r="G17" s="33" t="n">
        <v>0</v>
      </c>
    </row>
    <row r="18" customFormat="false" ht="15" hidden="false" customHeight="true" outlineLevel="0" collapsed="false">
      <c r="A18" s="10" t="s">
        <v>262</v>
      </c>
      <c r="B18" s="36" t="n">
        <f aca="false">B16-B17</f>
        <v>-6592</v>
      </c>
      <c r="C18" s="36" t="n">
        <f aca="false">C16-C17</f>
        <v>-6377</v>
      </c>
      <c r="D18" s="36" t="n">
        <f aca="false">D16-D17</f>
        <v>-12138</v>
      </c>
      <c r="E18" s="36" t="n">
        <f aca="false">E16-E17</f>
        <v>-16858</v>
      </c>
      <c r="F18" s="36" t="n">
        <f aca="false">F16-F17</f>
        <v>-14439</v>
      </c>
      <c r="G18" s="36" t="n">
        <f aca="false">G16-G17</f>
        <v>-66309</v>
      </c>
    </row>
    <row r="19" customFormat="false" ht="15" hidden="false" customHeight="true" outlineLevel="0" collapsed="false">
      <c r="A19" s="13" t="s">
        <v>263</v>
      </c>
      <c r="B19" s="33" t="n">
        <v>105</v>
      </c>
      <c r="C19" s="33" t="n">
        <v>181</v>
      </c>
      <c r="D19" s="33" t="n">
        <v>305</v>
      </c>
      <c r="E19" s="33" t="n">
        <v>574</v>
      </c>
      <c r="F19" s="33" t="n">
        <v>924</v>
      </c>
      <c r="G19" s="33" t="n">
        <v>1261</v>
      </c>
    </row>
    <row r="20" customFormat="false" ht="15" hidden="false" customHeight="true" outlineLevel="0" collapsed="false">
      <c r="A20" s="10" t="s">
        <v>264</v>
      </c>
      <c r="B20" s="36" t="n">
        <f aca="false">B12+B19</f>
        <v>-830</v>
      </c>
      <c r="C20" s="36" t="n">
        <f aca="false">C12+C19</f>
        <v>-1019</v>
      </c>
      <c r="D20" s="36" t="n">
        <f aca="false">D12+D19</f>
        <v>-2784</v>
      </c>
      <c r="E20" s="36" t="n">
        <f aca="false">E12+E19</f>
        <v>-2262</v>
      </c>
      <c r="F20" s="36" t="n">
        <f aca="false">F12+F19</f>
        <v>-743</v>
      </c>
      <c r="G20" s="36" t="n">
        <f aca="false">G12+G19</f>
        <v>2235</v>
      </c>
    </row>
    <row r="22" customFormat="false" ht="15" hidden="false" customHeight="true" outlineLevel="0" collapsed="false">
      <c r="A22" s="37" t="s">
        <v>265</v>
      </c>
      <c r="B22" s="38"/>
      <c r="C22" s="38"/>
      <c r="D22" s="38"/>
      <c r="E22" s="38"/>
      <c r="F22" s="38"/>
      <c r="G22" s="38"/>
      <c r="H22" s="38"/>
    </row>
    <row r="23" customFormat="false" ht="15" hidden="false" customHeight="true" outlineLevel="0" collapsed="false">
      <c r="A23" s="13" t="s">
        <v>131</v>
      </c>
      <c r="B23" s="16" t="n">
        <f aca="false">IFERROR(B6/B5,0)</f>
        <v>2.51063829787234</v>
      </c>
      <c r="C23" s="16" t="n">
        <f aca="false">IFERROR(C6/C5,0)</f>
        <v>1.76620076238882</v>
      </c>
      <c r="D23" s="16" t="n">
        <f aca="false">IFERROR(D6/D5,0)</f>
        <v>1.48118668596237</v>
      </c>
      <c r="E23" s="16" t="n">
        <f aca="false">IFERROR(E6/E5,0)</f>
        <v>1.44362745098039</v>
      </c>
      <c r="F23" s="16" t="n">
        <f aca="false">IFERROR(F6/F5,0)</f>
        <v>0.715916296766011</v>
      </c>
      <c r="G23" s="16" t="n">
        <f aca="false">IFERROR(G6/G5,0)</f>
        <v>0.481003894418001</v>
      </c>
    </row>
    <row r="24" customFormat="false" ht="15" hidden="false" customHeight="true" outlineLevel="0" collapsed="false">
      <c r="A24" s="13" t="s">
        <v>266</v>
      </c>
      <c r="B24" s="16" t="n">
        <f aca="false">IFERROR(B7/B5,0)</f>
        <v>0.579787234042553</v>
      </c>
      <c r="C24" s="16" t="n">
        <f aca="false">IFERROR(C7/C5,0)</f>
        <v>0.406607369758577</v>
      </c>
      <c r="D24" s="16" t="n">
        <f aca="false">IFERROR(D7/D5,0)</f>
        <v>0.35383502170767</v>
      </c>
      <c r="E24" s="16" t="n">
        <f aca="false">IFERROR(E7/E5,0)</f>
        <v>0.398039215686275</v>
      </c>
      <c r="F24" s="16" t="n">
        <f aca="false">IFERROR(F7/F5,0)</f>
        <v>0.273726484886916</v>
      </c>
      <c r="G24" s="16" t="n">
        <f aca="false">IFERROR(G7/G5,0)</f>
        <v>0.16070964950238</v>
      </c>
    </row>
    <row r="25" customFormat="false" ht="15" hidden="false" customHeight="true" outlineLevel="0" collapsed="false">
      <c r="A25" s="13" t="s">
        <v>267</v>
      </c>
      <c r="B25" s="16" t="n">
        <f aca="false">IFERROR(B9/B5,0)</f>
        <v>0.0638297872340426</v>
      </c>
      <c r="C25" s="16" t="n">
        <f aca="false">IFERROR(C9/C5,0)</f>
        <v>0.121982210927573</v>
      </c>
      <c r="D25" s="16" t="n">
        <f aca="false">IFERROR(D9/D5,0)</f>
        <v>0.14616497829233</v>
      </c>
      <c r="E25" s="16" t="n">
        <f aca="false">IFERROR(E9/E5,0)</f>
        <v>0.120588235294118</v>
      </c>
      <c r="F25" s="16" t="n">
        <f aca="false">IFERROR(F9/F5,0)</f>
        <v>0.218347072500528</v>
      </c>
      <c r="G25" s="16" t="n">
        <f aca="false">IFERROR(G9/G5,0)</f>
        <v>0.184768498485504</v>
      </c>
    </row>
    <row r="26" customFormat="false" ht="15" hidden="false" customHeight="true" outlineLevel="0" collapsed="false">
      <c r="A26" s="13" t="s">
        <v>268</v>
      </c>
      <c r="B26" s="16" t="n">
        <f aca="false">IFERROR(B10/B5,0)</f>
        <v>0.332446808510638</v>
      </c>
      <c r="C26" s="16" t="n">
        <f aca="false">IFERROR(C10/C5,0)</f>
        <v>0.229987293519695</v>
      </c>
      <c r="D26" s="16" t="n">
        <f aca="false">IFERROR(D10/D5,0)</f>
        <v>0.168596237337192</v>
      </c>
      <c r="E26" s="16" t="n">
        <f aca="false">IFERROR(E10/E5,0)</f>
        <v>0.427941176470588</v>
      </c>
      <c r="F26" s="16" t="n">
        <f aca="false">IFERROR(F10/F5,0)</f>
        <v>0.144366941450011</v>
      </c>
      <c r="G26" s="16" t="n">
        <f aca="false">IFERROR(G10/G5,0)</f>
        <v>0.089225443530939</v>
      </c>
    </row>
    <row r="27" customFormat="false" ht="15" hidden="false" customHeight="true" outlineLevel="0" collapsed="false">
      <c r="A27" s="13" t="s">
        <v>129</v>
      </c>
      <c r="B27" s="16" t="n">
        <f aca="false">IFERROR(B12/B5,0)</f>
        <v>-2.48670212765957</v>
      </c>
      <c r="C27" s="16" t="n">
        <f aca="false">IFERROR(C12/C5,0)</f>
        <v>-1.52477763659466</v>
      </c>
      <c r="D27" s="16" t="n">
        <f aca="false">IFERROR(D12/D5,0)</f>
        <v>-2.23516642547033</v>
      </c>
      <c r="E27" s="16" t="n">
        <f aca="false">IFERROR(E12/E5,0)</f>
        <v>-1.39019607843137</v>
      </c>
      <c r="F27" s="16" t="n">
        <f aca="false">IFERROR(F12/F5,0)</f>
        <v>-0.352356795603467</v>
      </c>
      <c r="G27" s="16" t="n">
        <f aca="false">IFERROR(G12/G5,0)</f>
        <v>0.0842925140631761</v>
      </c>
    </row>
    <row r="28" customFormat="false" ht="15" hidden="false" customHeight="true" outlineLevel="0" collapsed="false">
      <c r="A28" s="13" t="s">
        <v>130</v>
      </c>
      <c r="B28" s="16" t="n">
        <f aca="false">IFERROR(B20/B5,0)</f>
        <v>-2.20744680851064</v>
      </c>
      <c r="C28" s="16" t="n">
        <f aca="false">IFERROR(C20/C5,0)</f>
        <v>-1.29479034307497</v>
      </c>
      <c r="D28" s="16" t="n">
        <f aca="false">IFERROR(D20/D5,0)</f>
        <v>-2.01447178002894</v>
      </c>
      <c r="E28" s="16" t="n">
        <f aca="false">IFERROR(E20/E5,0)</f>
        <v>-1.10882352941176</v>
      </c>
      <c r="F28" s="16" t="n">
        <f aca="false">IFERROR(F20/F5,0)</f>
        <v>-0.157049249630099</v>
      </c>
      <c r="G28" s="16" t="n">
        <f aca="false">IFERROR(G20/G5,0)</f>
        <v>0.19342276070965</v>
      </c>
    </row>
    <row r="29" customFormat="false" ht="15" hidden="false" customHeight="true" outlineLevel="0" collapsed="false">
      <c r="A29" s="13" t="s">
        <v>269</v>
      </c>
      <c r="B29" s="16" t="n">
        <f aca="false">IFERROR(B19/B5,0)</f>
        <v>0.279255319148936</v>
      </c>
      <c r="C29" s="16" t="n">
        <f aca="false">IFERROR(C19/C5,0)</f>
        <v>0.229987293519695</v>
      </c>
      <c r="D29" s="16" t="n">
        <f aca="false">IFERROR(D19/D5,0)</f>
        <v>0.220694645441389</v>
      </c>
      <c r="E29" s="16" t="n">
        <f aca="false">IFERROR(E19/E5,0)</f>
        <v>0.281372549019608</v>
      </c>
      <c r="F29" s="16" t="n">
        <f aca="false">IFERROR(F19/F5,0)</f>
        <v>0.195307545973367</v>
      </c>
      <c r="G29" s="16" t="n">
        <f aca="false">IFERROR(G19/G5,0)</f>
        <v>0.109130246646473</v>
      </c>
    </row>
    <row r="30" customFormat="false" ht="15" hidden="false" customHeight="true" outlineLevel="0" collapsed="false">
      <c r="A30" s="13" t="s">
        <v>270</v>
      </c>
      <c r="C30" s="16" t="n">
        <f aca="false">IFERROR(C5/B5-1,0)</f>
        <v>1.09308510638298</v>
      </c>
      <c r="D30" s="16" t="n">
        <f aca="false">IFERROR(D5/C5-1,0)</f>
        <v>0.756035578144854</v>
      </c>
      <c r="E30" s="16" t="n">
        <f aca="false">IFERROR(E5/D5-1,0)</f>
        <v>0.476121562952243</v>
      </c>
      <c r="F30" s="16" t="n">
        <f aca="false">IFERROR(F5/E5-1,0)</f>
        <v>1.31911764705882</v>
      </c>
      <c r="G30" s="16" t="n">
        <f aca="false">IFERROR(G5/F5-1,0)</f>
        <v>1.4424011836821</v>
      </c>
      <c r="H30" s="16" t="n">
        <f aca="false">IFERROR(H5/G5-1,0)</f>
        <v>0.466205106014712</v>
      </c>
    </row>
    <row r="31" customFormat="false" ht="15" hidden="false" customHeight="true" outlineLevel="0" collapsed="false">
      <c r="A31" s="13" t="s">
        <v>271</v>
      </c>
      <c r="C31" s="34" t="n">
        <f aca="false">C5-B5</f>
        <v>411</v>
      </c>
      <c r="D31" s="34" t="n">
        <f aca="false">D5-C5</f>
        <v>595</v>
      </c>
      <c r="E31" s="34" t="n">
        <f aca="false">E5-D5</f>
        <v>658</v>
      </c>
      <c r="F31" s="34" t="n">
        <f aca="false">F5-E5</f>
        <v>2691</v>
      </c>
      <c r="G31" s="34" t="n">
        <f aca="false">G5-F5</f>
        <v>6824</v>
      </c>
      <c r="H31" s="34" t="n">
        <f aca="false">H5-G5</f>
        <v>5387</v>
      </c>
    </row>
    <row r="32" customFormat="false" ht="15" hidden="false" customHeight="true" outlineLevel="0" collapsed="false">
      <c r="A32" s="13" t="s">
        <v>272</v>
      </c>
      <c r="G32" s="34" t="n">
        <f aca="false">F5+G5-F35</f>
        <v>0</v>
      </c>
    </row>
    <row r="33" customFormat="false" ht="15" hidden="false" customHeight="true" outlineLevel="0" collapsed="false">
      <c r="A33" s="13" t="s">
        <v>273</v>
      </c>
      <c r="G33" s="34" t="n">
        <f aca="false">B5+C5+D5+E5-D35</f>
        <v>0</v>
      </c>
    </row>
    <row r="34" customFormat="false" ht="15" hidden="false" customHeight="true" outlineLevel="0" collapsed="false">
      <c r="A34" s="8" t="s">
        <v>274</v>
      </c>
      <c r="B34" s="9" t="s">
        <v>275</v>
      </c>
      <c r="C34" s="9" t="s">
        <v>276</v>
      </c>
      <c r="D34" s="9" t="s">
        <v>277</v>
      </c>
      <c r="E34" s="9" t="s">
        <v>278</v>
      </c>
      <c r="F34" s="9" t="s">
        <v>279</v>
      </c>
    </row>
    <row r="35" customFormat="false" ht="15" hidden="false" customHeight="true" outlineLevel="0" collapsed="false">
      <c r="A35" s="13" t="s">
        <v>249</v>
      </c>
      <c r="B35" s="33" t="n">
        <v>41</v>
      </c>
      <c r="C35" s="33" t="n">
        <v>386</v>
      </c>
      <c r="D35" s="33" t="n">
        <v>4585</v>
      </c>
      <c r="E35" s="33" t="n">
        <v>1163</v>
      </c>
      <c r="F35" s="33" t="n">
        <v>16286</v>
      </c>
    </row>
    <row r="36" customFormat="false" ht="15" hidden="false" customHeight="true" outlineLevel="0" collapsed="false">
      <c r="A36" s="13" t="s">
        <v>250</v>
      </c>
      <c r="B36" s="33" t="n">
        <v>433</v>
      </c>
      <c r="C36" s="33" t="n">
        <v>2522</v>
      </c>
      <c r="D36" s="33" t="n">
        <v>7326</v>
      </c>
      <c r="E36" s="33" t="n">
        <v>2334</v>
      </c>
      <c r="F36" s="33" t="n">
        <v>8945</v>
      </c>
    </row>
    <row r="37" customFormat="false" ht="15" hidden="false" customHeight="true" outlineLevel="0" collapsed="false">
      <c r="A37" s="13" t="s">
        <v>251</v>
      </c>
      <c r="B37" s="33" t="n">
        <v>95</v>
      </c>
      <c r="C37" s="33" t="n">
        <v>454</v>
      </c>
      <c r="D37" s="33" t="n">
        <v>1839</v>
      </c>
      <c r="E37" s="33" t="n">
        <v>538</v>
      </c>
      <c r="F37" s="33" t="n">
        <v>3152</v>
      </c>
    </row>
    <row r="38" customFormat="false" ht="15" hidden="false" customHeight="true" outlineLevel="0" collapsed="false">
      <c r="A38" s="13" t="s">
        <v>252</v>
      </c>
      <c r="B38" s="33" t="n">
        <v>0</v>
      </c>
      <c r="C38" s="33" t="n">
        <v>0</v>
      </c>
      <c r="D38" s="33" t="n">
        <v>1500</v>
      </c>
      <c r="E38" s="33" t="n">
        <v>0</v>
      </c>
      <c r="F38" s="33" t="n">
        <v>0</v>
      </c>
    </row>
    <row r="39" customFormat="false" ht="15" hidden="false" customHeight="true" outlineLevel="0" collapsed="false">
      <c r="A39" s="13" t="s">
        <v>253</v>
      </c>
      <c r="B39" s="33" t="n">
        <v>2</v>
      </c>
      <c r="C39" s="33" t="n">
        <v>43</v>
      </c>
      <c r="D39" s="33" t="n">
        <v>568</v>
      </c>
      <c r="E39" s="33" t="n">
        <v>120</v>
      </c>
      <c r="F39" s="33" t="n">
        <v>3168</v>
      </c>
    </row>
    <row r="40" customFormat="false" ht="15" hidden="false" customHeight="true" outlineLevel="0" collapsed="false">
      <c r="A40" s="13" t="s">
        <v>254</v>
      </c>
      <c r="B40" s="33" t="n">
        <v>62</v>
      </c>
      <c r="C40" s="33" t="n">
        <v>347</v>
      </c>
      <c r="D40" s="33" t="n">
        <v>1412</v>
      </c>
      <c r="E40" s="33" t="n">
        <v>306</v>
      </c>
      <c r="F40" s="33" t="n">
        <v>1714</v>
      </c>
    </row>
    <row r="41" customFormat="false" ht="15" hidden="false" customHeight="true" outlineLevel="0" collapsed="false">
      <c r="A41" s="10" t="s">
        <v>255</v>
      </c>
      <c r="B41" s="35" t="n">
        <f aca="false">SUM(B36:B40)</f>
        <v>592</v>
      </c>
      <c r="C41" s="35" t="n">
        <f aca="false">SUM(C36:C40)</f>
        <v>3366</v>
      </c>
      <c r="D41" s="35" t="n">
        <f aca="false">SUM(D36:D40)</f>
        <v>12645</v>
      </c>
      <c r="E41" s="35" t="n">
        <f aca="false">SUM(E36:E40)</f>
        <v>3298</v>
      </c>
      <c r="F41" s="35" t="n">
        <f aca="false">SUM(F36:F40)</f>
        <v>16979</v>
      </c>
    </row>
    <row r="42" customFormat="false" ht="15" hidden="false" customHeight="true" outlineLevel="0" collapsed="false">
      <c r="A42" s="10" t="s">
        <v>256</v>
      </c>
      <c r="B42" s="35" t="n">
        <f aca="false">B35-B41</f>
        <v>-551</v>
      </c>
      <c r="C42" s="35" t="n">
        <f aca="false">C35-C41</f>
        <v>-2980</v>
      </c>
      <c r="D42" s="35" t="n">
        <f aca="false">D35-D41</f>
        <v>-8060</v>
      </c>
      <c r="E42" s="35" t="n">
        <f aca="false">E35-E41</f>
        <v>-2135</v>
      </c>
      <c r="F42" s="35" t="n">
        <f aca="false">F35-F41</f>
        <v>-693</v>
      </c>
    </row>
    <row r="43" customFormat="false" ht="15" hidden="false" customHeight="true" outlineLevel="0" collapsed="false">
      <c r="A43" s="13" t="s">
        <v>257</v>
      </c>
      <c r="B43" s="33" t="n">
        <v>69</v>
      </c>
      <c r="C43" s="33" t="n">
        <v>106</v>
      </c>
      <c r="D43" s="33" t="n">
        <v>431</v>
      </c>
      <c r="E43" s="33" t="n">
        <v>115</v>
      </c>
      <c r="F43" s="33" t="n">
        <v>1111</v>
      </c>
    </row>
    <row r="44" customFormat="false" ht="15" hidden="false" customHeight="true" outlineLevel="0" collapsed="false">
      <c r="A44" s="13" t="s">
        <v>258</v>
      </c>
      <c r="B44" s="33" t="n">
        <v>-1045</v>
      </c>
      <c r="C44" s="33" t="n">
        <v>-5434</v>
      </c>
      <c r="D44" s="33" t="n">
        <v>-34308</v>
      </c>
      <c r="E44" s="33" t="n">
        <v>-10942</v>
      </c>
      <c r="F44" s="33" t="n">
        <v>-72388</v>
      </c>
    </row>
    <row r="45" customFormat="false" ht="15" hidden="false" customHeight="true" outlineLevel="0" collapsed="false">
      <c r="A45" s="13" t="s">
        <v>259</v>
      </c>
      <c r="B45" s="33" t="n">
        <v>-2</v>
      </c>
      <c r="C45" s="33" t="n">
        <v>0</v>
      </c>
      <c r="D45" s="33" t="n">
        <v>-8</v>
      </c>
      <c r="E45" s="33" t="n">
        <v>0</v>
      </c>
      <c r="F45" s="33" t="n">
        <v>-8757</v>
      </c>
    </row>
    <row r="46" customFormat="false" ht="15" hidden="false" customHeight="true" outlineLevel="0" collapsed="false">
      <c r="A46" s="13" t="s">
        <v>260</v>
      </c>
      <c r="B46" s="34" t="n">
        <f aca="false">B42+B43+B44+B45</f>
        <v>-1529</v>
      </c>
      <c r="C46" s="34" t="n">
        <f aca="false">C42+C43+C44+C45</f>
        <v>-8308</v>
      </c>
      <c r="D46" s="34" t="n">
        <f aca="false">D42+D43+D44+D45</f>
        <v>-41945</v>
      </c>
      <c r="E46" s="34" t="n">
        <f aca="false">E42+E43+E44+E45</f>
        <v>-12962</v>
      </c>
      <c r="F46" s="34" t="n">
        <f aca="false">F42+F43+F44+F45</f>
        <v>-80727</v>
      </c>
    </row>
    <row r="47" customFormat="false" ht="15" hidden="false" customHeight="true" outlineLevel="0" collapsed="false">
      <c r="A47" s="13" t="s">
        <v>261</v>
      </c>
      <c r="B47" s="33" t="n">
        <v>2</v>
      </c>
      <c r="C47" s="33" t="n">
        <v>1</v>
      </c>
      <c r="D47" s="33" t="n">
        <v>20</v>
      </c>
      <c r="E47" s="33" t="n">
        <v>7</v>
      </c>
      <c r="F47" s="33" t="n">
        <v>21</v>
      </c>
    </row>
    <row r="48" customFormat="false" ht="15" hidden="false" customHeight="true" outlineLevel="0" collapsed="false">
      <c r="A48" s="10" t="s">
        <v>262</v>
      </c>
      <c r="B48" s="36" t="n">
        <f aca="false">B46-B47</f>
        <v>-1531</v>
      </c>
      <c r="C48" s="36" t="n">
        <f aca="false">C46-C47</f>
        <v>-8309</v>
      </c>
      <c r="D48" s="36" t="n">
        <f aca="false">D46-D47</f>
        <v>-41965</v>
      </c>
      <c r="E48" s="36" t="n">
        <f aca="false">E46-E47</f>
        <v>-12969</v>
      </c>
      <c r="F48" s="36" t="n">
        <f aca="false">F46-F47</f>
        <v>-80748</v>
      </c>
    </row>
    <row r="49" customFormat="false" ht="15" hidden="false" customHeight="true" outlineLevel="0" collapsed="false">
      <c r="A49" s="13" t="s">
        <v>280</v>
      </c>
      <c r="B49" s="33" t="n">
        <v>29</v>
      </c>
      <c r="C49" s="33" t="n">
        <v>192</v>
      </c>
      <c r="D49" s="33" t="n">
        <v>1158</v>
      </c>
      <c r="E49" s="33" t="n">
        <v>279</v>
      </c>
      <c r="F49" s="33" t="n">
        <v>2185</v>
      </c>
      <c r="G49" s="6" t="s">
        <v>281</v>
      </c>
    </row>
    <row r="50" customFormat="false" ht="15" hidden="false" customHeight="true" outlineLevel="0" collapsed="false">
      <c r="A50" s="13" t="s">
        <v>282</v>
      </c>
      <c r="B50" s="33" t="n">
        <v>39</v>
      </c>
      <c r="C50" s="33" t="n">
        <v>288</v>
      </c>
      <c r="D50" s="33" t="n">
        <v>3796</v>
      </c>
      <c r="E50" s="33" t="n">
        <v>983</v>
      </c>
      <c r="F50" s="33" t="n">
        <v>13064</v>
      </c>
    </row>
    <row r="51" customFormat="false" ht="15" hidden="false" customHeight="true" outlineLevel="0" collapsed="false">
      <c r="A51" s="13" t="s">
        <v>283</v>
      </c>
      <c r="B51" s="33" t="n">
        <v>2</v>
      </c>
      <c r="C51" s="33" t="n">
        <v>98</v>
      </c>
      <c r="D51" s="33" t="n">
        <v>789</v>
      </c>
      <c r="E51" s="33" t="n">
        <v>180</v>
      </c>
      <c r="F51" s="33" t="n">
        <v>3222</v>
      </c>
    </row>
    <row r="52" customFormat="false" ht="15" hidden="false" customHeight="true" outlineLevel="0" collapsed="false">
      <c r="A52" s="13" t="s">
        <v>284</v>
      </c>
      <c r="B52" s="34" t="n">
        <f aca="false">B50+B51-B35</f>
        <v>0</v>
      </c>
      <c r="C52" s="34" t="n">
        <f aca="false">C50+C51-C35</f>
        <v>0</v>
      </c>
      <c r="D52" s="34" t="n">
        <f aca="false">D50+D51-D35</f>
        <v>0</v>
      </c>
      <c r="E52" s="34" t="n">
        <f aca="false">E50+E51-E35</f>
        <v>0</v>
      </c>
      <c r="F52" s="34" t="n">
        <f aca="false">F50+F51-F35</f>
        <v>0</v>
      </c>
    </row>
    <row r="53" customFormat="false" ht="15" hidden="false" customHeight="true" outlineLevel="0" collapsed="false">
      <c r="A53" s="13" t="s">
        <v>285</v>
      </c>
      <c r="B53" s="33" t="n">
        <v>34</v>
      </c>
      <c r="C53" s="33" t="n">
        <v>263</v>
      </c>
      <c r="D53" s="33" t="n">
        <v>3362</v>
      </c>
      <c r="E53" s="33" t="n">
        <v>820</v>
      </c>
      <c r="F53" s="33" t="n">
        <v>11763</v>
      </c>
    </row>
    <row r="54" customFormat="false" ht="15" hidden="false" customHeight="true" outlineLevel="0" collapsed="false">
      <c r="A54" s="13" t="s">
        <v>286</v>
      </c>
      <c r="B54" s="33" t="n">
        <v>7</v>
      </c>
      <c r="C54" s="33" t="n">
        <v>123</v>
      </c>
      <c r="D54" s="33" t="n">
        <v>1223</v>
      </c>
      <c r="E54" s="33" t="n">
        <v>343</v>
      </c>
      <c r="F54" s="33" t="n">
        <v>4523</v>
      </c>
    </row>
    <row r="55" customFormat="false" ht="15" hidden="false" customHeight="true" outlineLevel="0" collapsed="false">
      <c r="A55" s="13" t="s">
        <v>287</v>
      </c>
      <c r="C55" s="39" t="n">
        <v>0.32</v>
      </c>
      <c r="D55" s="39" t="n">
        <v>0.47</v>
      </c>
      <c r="F55" s="39" t="n">
        <v>0.48</v>
      </c>
    </row>
    <row r="57" customFormat="false" ht="15" hidden="false" customHeight="true" outlineLevel="0" collapsed="false">
      <c r="A57" s="8" t="s">
        <v>288</v>
      </c>
      <c r="B57" s="9" t="s">
        <v>275</v>
      </c>
      <c r="C57" s="9" t="s">
        <v>276</v>
      </c>
      <c r="D57" s="9" t="s">
        <v>277</v>
      </c>
      <c r="E57" s="9" t="s">
        <v>278</v>
      </c>
      <c r="F57" s="9" t="s">
        <v>279</v>
      </c>
    </row>
    <row r="58" customFormat="false" ht="15" hidden="false" customHeight="true" outlineLevel="0" collapsed="false">
      <c r="A58" s="13" t="s">
        <v>289</v>
      </c>
      <c r="B58" s="33" t="n">
        <v>-1627</v>
      </c>
      <c r="C58" s="33" t="n">
        <v>-5692</v>
      </c>
      <c r="D58" s="33" t="n">
        <v>-2637</v>
      </c>
      <c r="E58" s="33" t="n">
        <v>-1513</v>
      </c>
      <c r="F58" s="33" t="n">
        <v>3929</v>
      </c>
    </row>
    <row r="59" customFormat="false" ht="15" hidden="false" customHeight="true" outlineLevel="0" collapsed="false">
      <c r="A59" s="13" t="s">
        <v>290</v>
      </c>
      <c r="B59" s="33" t="n">
        <v>-2</v>
      </c>
      <c r="C59" s="33" t="n">
        <v>-15</v>
      </c>
      <c r="D59" s="33" t="n">
        <v>-131</v>
      </c>
      <c r="E59" s="33" t="n">
        <v>-18</v>
      </c>
      <c r="F59" s="33" t="n">
        <v>-482</v>
      </c>
    </row>
    <row r="60" customFormat="false" ht="15" hidden="false" customHeight="true" outlineLevel="0" collapsed="false">
      <c r="A60" s="10" t="s">
        <v>291</v>
      </c>
      <c r="B60" s="35" t="n">
        <f aca="false">B58+B59</f>
        <v>-1629</v>
      </c>
      <c r="C60" s="35" t="n">
        <f aca="false">C58+C59</f>
        <v>-5707</v>
      </c>
      <c r="D60" s="35" t="n">
        <f aca="false">D58+D59</f>
        <v>-2768</v>
      </c>
      <c r="E60" s="35" t="n">
        <f aca="false">E58+E59</f>
        <v>-1531</v>
      </c>
      <c r="F60" s="35" t="n">
        <f aca="false">F58+F59</f>
        <v>3447</v>
      </c>
    </row>
    <row r="61" customFormat="false" ht="15" hidden="false" customHeight="true" outlineLevel="0" collapsed="false">
      <c r="A61" s="13" t="s">
        <v>292</v>
      </c>
      <c r="B61" s="16" t="n">
        <f aca="false">IFERROR(B60/B35,0)</f>
        <v>-39.7317073170732</v>
      </c>
      <c r="C61" s="16" t="n">
        <f aca="false">IFERROR(C60/C35,0)</f>
        <v>-14.7849740932642</v>
      </c>
      <c r="D61" s="16" t="n">
        <f aca="false">IFERROR(D60/D35,0)</f>
        <v>-0.60370774263904</v>
      </c>
      <c r="E61" s="16" t="n">
        <f aca="false">IFERROR(E60/E35,0)</f>
        <v>-1.31642304385211</v>
      </c>
      <c r="F61" s="16" t="n">
        <f aca="false">IFERROR(F60/F35,0)</f>
        <v>0.211654181505588</v>
      </c>
    </row>
    <row r="62" customFormat="false" ht="15" hidden="false" customHeight="true" outlineLevel="0" collapsed="false">
      <c r="A62" s="13" t="s">
        <v>293</v>
      </c>
      <c r="B62" s="34" t="n">
        <f aca="false">B60-B49</f>
        <v>-1658</v>
      </c>
      <c r="C62" s="34" t="n">
        <f aca="false">C60-C49</f>
        <v>-5899</v>
      </c>
      <c r="D62" s="34" t="n">
        <f aca="false">D60-D49</f>
        <v>-3926</v>
      </c>
      <c r="E62" s="34" t="n">
        <f aca="false">E60-E49</f>
        <v>-1810</v>
      </c>
      <c r="F62" s="34" t="n">
        <f aca="false">F60-F49</f>
        <v>1262</v>
      </c>
    </row>
    <row r="64" customFormat="false" ht="15" hidden="false" customHeight="true" outlineLevel="0" collapsed="false">
      <c r="A64" s="10" t="s">
        <v>294</v>
      </c>
    </row>
    <row r="66" customFormat="false" ht="15" hidden="false" customHeight="true" outlineLevel="0" collapsed="false">
      <c r="A66" s="13" t="s">
        <v>295</v>
      </c>
      <c r="B66" s="33" t="n">
        <v>197</v>
      </c>
    </row>
    <row r="67" customFormat="false" ht="15" hidden="false" customHeight="true" outlineLevel="0" collapsed="false">
      <c r="A67" s="13" t="s">
        <v>296</v>
      </c>
      <c r="B67" s="40" t="n">
        <v>86</v>
      </c>
    </row>
    <row r="69" customFormat="false" ht="15" hidden="false" customHeight="true" outlineLevel="0" collapsed="false">
      <c r="A69" s="13" t="s">
        <v>297</v>
      </c>
      <c r="B69" s="33" t="n">
        <v>131651</v>
      </c>
    </row>
    <row r="71" customFormat="false" ht="15" hidden="false" customHeight="true" outlineLevel="0" collapsed="false">
      <c r="A71" s="8" t="s">
        <v>298</v>
      </c>
      <c r="B71" s="9" t="s">
        <v>279</v>
      </c>
      <c r="C71" s="9" t="s">
        <v>299</v>
      </c>
    </row>
    <row r="72" customFormat="false" ht="15" hidden="false" customHeight="true" outlineLevel="0" collapsed="false">
      <c r="A72" s="13" t="s">
        <v>256</v>
      </c>
      <c r="B72" s="34" t="n">
        <f aca="false">F42</f>
        <v>-693</v>
      </c>
      <c r="C72" s="6" t="s">
        <v>300</v>
      </c>
    </row>
    <row r="73" customFormat="false" ht="15" hidden="false" customHeight="true" outlineLevel="0" collapsed="false">
      <c r="A73" s="13" t="s">
        <v>301</v>
      </c>
      <c r="B73" s="34" t="n">
        <f aca="false">F43</f>
        <v>1111</v>
      </c>
      <c r="C73" s="6" t="s">
        <v>300</v>
      </c>
    </row>
    <row r="74" customFormat="false" ht="15" hidden="false" customHeight="true" outlineLevel="0" collapsed="false">
      <c r="A74" s="13" t="s">
        <v>302</v>
      </c>
      <c r="B74" s="34" t="n">
        <f aca="false">-F47</f>
        <v>-21</v>
      </c>
      <c r="C74" s="6" t="s">
        <v>300</v>
      </c>
    </row>
    <row r="75" customFormat="false" ht="15" hidden="false" customHeight="true" outlineLevel="0" collapsed="false">
      <c r="A75" s="13" t="s">
        <v>303</v>
      </c>
      <c r="B75" s="34" t="n">
        <f aca="false">F59</f>
        <v>-482</v>
      </c>
      <c r="C75" s="6" t="s">
        <v>304</v>
      </c>
    </row>
    <row r="76" customFormat="false" ht="15" hidden="false" customHeight="true" outlineLevel="0" collapsed="false">
      <c r="A76" s="10" t="s">
        <v>305</v>
      </c>
      <c r="B76" s="34" t="n">
        <f aca="false">SUM(B72:B75)</f>
        <v>-85</v>
      </c>
      <c r="C76" s="6" t="s">
        <v>306</v>
      </c>
    </row>
    <row r="77" customFormat="false" ht="15" hidden="false" customHeight="true" outlineLevel="0" collapsed="false">
      <c r="A77" s="13" t="s">
        <v>307</v>
      </c>
      <c r="B77" s="34" t="n">
        <f aca="false">F49</f>
        <v>2185</v>
      </c>
      <c r="C77" s="6" t="s">
        <v>304</v>
      </c>
    </row>
    <row r="78" customFormat="false" ht="15" hidden="false" customHeight="true" outlineLevel="0" collapsed="false">
      <c r="A78" s="13" t="s">
        <v>308</v>
      </c>
      <c r="B78" s="33" t="n">
        <v>126</v>
      </c>
      <c r="C78" s="6" t="s">
        <v>309</v>
      </c>
    </row>
    <row r="79" customFormat="false" ht="15" hidden="false" customHeight="true" outlineLevel="0" collapsed="false">
      <c r="A79" s="10" t="s">
        <v>310</v>
      </c>
      <c r="B79" s="34" t="n">
        <f aca="false">B76+B77+B78</f>
        <v>2226</v>
      </c>
      <c r="C79" s="6" t="s">
        <v>311</v>
      </c>
    </row>
    <row r="80" customFormat="false" ht="15" hidden="false" customHeight="true" outlineLevel="0" collapsed="false">
      <c r="A80" s="13" t="s">
        <v>312</v>
      </c>
      <c r="B80" s="33" t="n">
        <v>97</v>
      </c>
      <c r="C80" s="6" t="s">
        <v>304</v>
      </c>
    </row>
    <row r="81" customFormat="false" ht="15" hidden="false" customHeight="true" outlineLevel="0" collapsed="false">
      <c r="A81" s="13" t="s">
        <v>313</v>
      </c>
      <c r="B81" s="34" t="n">
        <f aca="false">F45+8720</f>
        <v>-37</v>
      </c>
      <c r="C81" s="6" t="s">
        <v>314</v>
      </c>
    </row>
    <row r="82" customFormat="false" ht="15" hidden="false" customHeight="true" outlineLevel="0" collapsed="false">
      <c r="A82" s="13" t="s">
        <v>315</v>
      </c>
      <c r="B82" s="33" t="n">
        <v>-7</v>
      </c>
      <c r="C82" s="6" t="s">
        <v>304</v>
      </c>
    </row>
    <row r="83" customFormat="false" ht="15" hidden="false" customHeight="true" outlineLevel="0" collapsed="false">
      <c r="A83" s="13" t="s">
        <v>316</v>
      </c>
      <c r="B83" s="34" t="n">
        <f aca="false">-4982+2094+2679-3+1380</f>
        <v>1168</v>
      </c>
      <c r="C83" s="6" t="s">
        <v>317</v>
      </c>
    </row>
    <row r="84" customFormat="false" ht="15" hidden="false" customHeight="true" outlineLevel="0" collapsed="false">
      <c r="A84" s="10" t="s">
        <v>318</v>
      </c>
      <c r="B84" s="34" t="n">
        <f aca="false">SUM(B79:B83)</f>
        <v>3447</v>
      </c>
      <c r="C84" s="6" t="s">
        <v>319</v>
      </c>
    </row>
    <row r="85" customFormat="false" ht="15" hidden="false" customHeight="true" outlineLevel="0" collapsed="false">
      <c r="A85" s="13" t="s">
        <v>320</v>
      </c>
      <c r="B85" s="34" t="n">
        <f aca="false">B84-F60</f>
        <v>0</v>
      </c>
      <c r="C85" s="6"/>
    </row>
    <row r="86" customFormat="false" ht="15" hidden="false" customHeight="true" outlineLevel="0" collapsed="false">
      <c r="A86" s="13" t="s">
        <v>321</v>
      </c>
      <c r="B86" s="34" t="n">
        <f aca="false">B84-B77</f>
        <v>1262</v>
      </c>
      <c r="C86" s="6"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4" width="62"/>
    <col collapsed="false" customWidth="true" hidden="false" outlineLevel="0" max="4" min="2" style="4" width="13"/>
    <col collapsed="false" customWidth="true" hidden="false" outlineLevel="0" max="5" min="5" style="4" width="40"/>
    <col collapsed="false" customWidth="true" hidden="false" outlineLevel="0" max="15" min="6" style="4" width="13"/>
  </cols>
  <sheetData>
    <row r="1" customFormat="false" ht="17.25" hidden="false" customHeight="true" outlineLevel="0" collapsed="false">
      <c r="A1" s="5" t="s">
        <v>323</v>
      </c>
    </row>
    <row r="2" customFormat="false" ht="15" hidden="false" customHeight="true" outlineLevel="0" collapsed="false">
      <c r="A2" s="6" t="s">
        <v>324</v>
      </c>
    </row>
    <row r="4" customFormat="false" ht="15" hidden="false" customHeight="true" outlineLevel="0" collapsed="false">
      <c r="A4" s="8" t="s">
        <v>325</v>
      </c>
      <c r="B4" s="9" t="s">
        <v>74</v>
      </c>
      <c r="C4" s="9" t="s">
        <v>326</v>
      </c>
    </row>
    <row r="5" customFormat="false" ht="15" hidden="false" customHeight="true" outlineLevel="0" collapsed="false">
      <c r="A5" s="13" t="s">
        <v>327</v>
      </c>
      <c r="B5" s="41" t="n">
        <f aca="false">Historicals!H5</f>
        <v>16942</v>
      </c>
      <c r="C5" s="6" t="s">
        <v>328</v>
      </c>
    </row>
    <row r="6" customFormat="false" ht="15" hidden="false" customHeight="true" outlineLevel="0" collapsed="false">
      <c r="A6" s="13" t="s">
        <v>329</v>
      </c>
      <c r="B6" s="41" t="n">
        <f aca="false">Historicals!B69</f>
        <v>131651</v>
      </c>
      <c r="C6" s="6" t="s">
        <v>330</v>
      </c>
    </row>
    <row r="7" customFormat="false" ht="15" hidden="false" customHeight="true" outlineLevel="0" collapsed="false">
      <c r="A7" s="13" t="s">
        <v>331</v>
      </c>
      <c r="B7" s="42" t="n">
        <v>846840960</v>
      </c>
      <c r="C7" s="6" t="s">
        <v>332</v>
      </c>
    </row>
    <row r="8" customFormat="false" ht="15" hidden="false" customHeight="true" outlineLevel="0" collapsed="false">
      <c r="A8" s="13" t="s">
        <v>333</v>
      </c>
      <c r="B8" s="39" t="n">
        <v>0.05</v>
      </c>
      <c r="C8" s="6" t="s">
        <v>334</v>
      </c>
    </row>
    <row r="9" customFormat="false" ht="15" hidden="false" customHeight="true" outlineLevel="0" collapsed="false">
      <c r="A9" s="13" t="s">
        <v>335</v>
      </c>
      <c r="B9" s="43" t="n">
        <f aca="false">B7/B8/1000000</f>
        <v>16936.8192</v>
      </c>
      <c r="C9" s="6" t="s">
        <v>336</v>
      </c>
    </row>
    <row r="10" customFormat="false" ht="15" hidden="false" customHeight="true" outlineLevel="0" collapsed="false">
      <c r="A10" s="13" t="s">
        <v>337</v>
      </c>
      <c r="B10" s="44" t="n">
        <v>1</v>
      </c>
      <c r="C10" s="6" t="s">
        <v>338</v>
      </c>
    </row>
    <row r="11" customFormat="false" ht="15" hidden="false" customHeight="true" outlineLevel="0" collapsed="false">
      <c r="A11" s="13" t="s">
        <v>339</v>
      </c>
      <c r="B11" s="42" t="n">
        <v>91</v>
      </c>
      <c r="C11" s="6" t="s">
        <v>340</v>
      </c>
    </row>
    <row r="12" customFormat="false" ht="15" hidden="false" customHeight="true" outlineLevel="0" collapsed="false">
      <c r="A12" s="13" t="s">
        <v>341</v>
      </c>
      <c r="B12" s="44" t="n">
        <v>1</v>
      </c>
      <c r="C12" s="6" t="s">
        <v>342</v>
      </c>
    </row>
    <row r="13" customFormat="false" ht="15" hidden="false" customHeight="true" outlineLevel="0" collapsed="false">
      <c r="A13" s="13" t="s">
        <v>343</v>
      </c>
      <c r="B13" s="45" t="n">
        <v>28</v>
      </c>
      <c r="C13" s="6" t="s">
        <v>344</v>
      </c>
    </row>
    <row r="14" customFormat="false" ht="15" hidden="false" customHeight="true" outlineLevel="0" collapsed="false">
      <c r="A14" s="13" t="s">
        <v>345</v>
      </c>
      <c r="B14" s="46" t="n">
        <v>0</v>
      </c>
      <c r="C14" s="6" t="s">
        <v>346</v>
      </c>
    </row>
    <row r="15" customFormat="false" ht="15" hidden="false" customHeight="true" outlineLevel="0" collapsed="false">
      <c r="A15" s="13" t="s">
        <v>347</v>
      </c>
      <c r="B15" s="47" t="n">
        <v>0</v>
      </c>
      <c r="C15" s="6" t="s">
        <v>348</v>
      </c>
    </row>
    <row r="16" customFormat="false" ht="15" hidden="false" customHeight="true" outlineLevel="0" collapsed="false">
      <c r="A16" s="13" t="s">
        <v>349</v>
      </c>
      <c r="B16" s="46" t="n">
        <v>0</v>
      </c>
      <c r="C16" s="6" t="s">
        <v>348</v>
      </c>
    </row>
    <row r="17" customFormat="false" ht="15" hidden="false" customHeight="true" outlineLevel="0" collapsed="false">
      <c r="A17" s="13" t="s">
        <v>350</v>
      </c>
      <c r="B17" s="47" t="n">
        <v>0</v>
      </c>
      <c r="C17" s="6" t="s">
        <v>351</v>
      </c>
    </row>
    <row r="18" customFormat="false" ht="15" hidden="false" customHeight="true" outlineLevel="0" collapsed="false">
      <c r="A18" s="13" t="s">
        <v>352</v>
      </c>
      <c r="B18" s="43" t="n">
        <f aca="false">B9+B10*B7/1000000+B12*B11+B13-B14+B16</f>
        <v>17902.66016</v>
      </c>
      <c r="C18" s="6" t="s">
        <v>353</v>
      </c>
    </row>
    <row r="19" customFormat="false" ht="15" hidden="false" customHeight="true" outlineLevel="0" collapsed="false">
      <c r="A19" s="13" t="s">
        <v>354</v>
      </c>
      <c r="B19" s="48" t="n">
        <v>0.12</v>
      </c>
      <c r="C19" s="6" t="s">
        <v>355</v>
      </c>
    </row>
    <row r="20" customFormat="false" ht="15" hidden="false" customHeight="true" outlineLevel="0" collapsed="false">
      <c r="A20" s="13" t="s">
        <v>356</v>
      </c>
      <c r="B20" s="48" t="n">
        <v>0.025</v>
      </c>
      <c r="C20" s="6" t="s">
        <v>357</v>
      </c>
    </row>
    <row r="21" customFormat="false" ht="15" hidden="false" customHeight="true" outlineLevel="0" collapsed="false">
      <c r="A21" s="13" t="s">
        <v>358</v>
      </c>
      <c r="B21" s="48" t="n">
        <v>0.5</v>
      </c>
      <c r="C21" s="6" t="s">
        <v>359</v>
      </c>
    </row>
    <row r="22" customFormat="false" ht="15" hidden="false" customHeight="true" outlineLevel="0" collapsed="false">
      <c r="A22" s="13" t="s">
        <v>360</v>
      </c>
      <c r="B22" s="47" t="n">
        <v>1500000</v>
      </c>
      <c r="C22" s="6" t="s">
        <v>361</v>
      </c>
    </row>
    <row r="23" customFormat="false" ht="15" hidden="false" customHeight="true" outlineLevel="0" collapsed="false">
      <c r="A23" s="13" t="s">
        <v>362</v>
      </c>
      <c r="B23" s="25" t="n">
        <f aca="false">B22/B18</f>
        <v>83.786430988142</v>
      </c>
      <c r="C23" s="6" t="s">
        <v>363</v>
      </c>
    </row>
    <row r="24" customFormat="false" ht="15" hidden="false" customHeight="true" outlineLevel="0" collapsed="false">
      <c r="A24" s="13" t="s">
        <v>364</v>
      </c>
      <c r="B24" s="44" t="n">
        <v>1</v>
      </c>
      <c r="C24" s="6" t="s">
        <v>365</v>
      </c>
    </row>
    <row r="25" customFormat="false" ht="15" hidden="false" customHeight="true" outlineLevel="0" collapsed="false">
      <c r="A25" s="13" t="s">
        <v>366</v>
      </c>
      <c r="B25" s="39" t="n">
        <v>0.02</v>
      </c>
      <c r="C25" s="6" t="s">
        <v>367</v>
      </c>
    </row>
    <row r="26" customFormat="false" ht="15" hidden="false" customHeight="true" outlineLevel="0" collapsed="false">
      <c r="A26" s="13" t="s">
        <v>368</v>
      </c>
      <c r="B26" s="39" t="n">
        <v>0.5</v>
      </c>
      <c r="C26" s="6" t="s">
        <v>369</v>
      </c>
    </row>
    <row r="27" customFormat="false" ht="15" hidden="false" customHeight="true" outlineLevel="0" collapsed="false">
      <c r="A27" s="13" t="s">
        <v>370</v>
      </c>
      <c r="B27" s="33" t="n">
        <v>40000000</v>
      </c>
      <c r="C27" s="6" t="s">
        <v>371</v>
      </c>
    </row>
    <row r="28" customFormat="false" ht="15" hidden="false" customHeight="true" outlineLevel="0" collapsed="false">
      <c r="A28" s="13" t="s">
        <v>372</v>
      </c>
      <c r="B28" s="47" t="n">
        <v>2000000</v>
      </c>
      <c r="C28" s="6" t="s">
        <v>373</v>
      </c>
    </row>
    <row r="29" customFormat="false" ht="15" hidden="false" customHeight="true" outlineLevel="0" collapsed="false">
      <c r="A29" s="13" t="s">
        <v>374</v>
      </c>
      <c r="B29" s="47" t="n">
        <v>5000</v>
      </c>
      <c r="C29" s="6" t="s">
        <v>375</v>
      </c>
    </row>
    <row r="30" customFormat="false" ht="15" hidden="false" customHeight="true" outlineLevel="0" collapsed="false">
      <c r="A30" s="13" t="s">
        <v>376</v>
      </c>
      <c r="B30" s="48" t="n">
        <v>0.15</v>
      </c>
      <c r="C30" s="6" t="s">
        <v>377</v>
      </c>
    </row>
    <row r="31" customFormat="false" ht="15" hidden="false" customHeight="true" outlineLevel="0" collapsed="false">
      <c r="A31" s="13" t="s">
        <v>378</v>
      </c>
      <c r="B31" s="48" t="n">
        <v>0.03</v>
      </c>
      <c r="C31" s="6" t="s">
        <v>379</v>
      </c>
    </row>
    <row r="32" customFormat="false" ht="15" hidden="false" customHeight="true" outlineLevel="0" collapsed="false">
      <c r="A32" s="13" t="s">
        <v>380</v>
      </c>
      <c r="B32" s="44" t="n">
        <v>5</v>
      </c>
      <c r="C32" s="6" t="s">
        <v>381</v>
      </c>
    </row>
    <row r="33" customFormat="false" ht="15" hidden="false" customHeight="true" outlineLevel="0" collapsed="false">
      <c r="A33" s="13" t="s">
        <v>382</v>
      </c>
      <c r="B33" s="48" t="n">
        <v>0</v>
      </c>
      <c r="C33" s="6" t="s">
        <v>383</v>
      </c>
    </row>
    <row r="34" customFormat="false" ht="15" hidden="false" customHeight="true" outlineLevel="0" collapsed="false">
      <c r="A34" s="13" t="s">
        <v>384</v>
      </c>
      <c r="B34" s="44" t="n">
        <v>0</v>
      </c>
      <c r="C34" s="6" t="s">
        <v>385</v>
      </c>
    </row>
    <row r="35" customFormat="false" ht="15" hidden="false" customHeight="true" outlineLevel="0" collapsed="false">
      <c r="A35" s="13" t="s">
        <v>386</v>
      </c>
      <c r="B35" s="44" t="n">
        <v>1</v>
      </c>
      <c r="C35" s="6" t="s">
        <v>387</v>
      </c>
    </row>
    <row r="36" customFormat="false" ht="15" hidden="false" customHeight="true" outlineLevel="0" collapsed="false">
      <c r="A36" s="13" t="s">
        <v>388</v>
      </c>
      <c r="B36" s="48" t="n">
        <v>0.05</v>
      </c>
      <c r="C36" s="6" t="s">
        <v>389</v>
      </c>
    </row>
    <row r="37" customFormat="false" ht="15" hidden="false" customHeight="true" outlineLevel="0" collapsed="false">
      <c r="A37" s="13" t="s">
        <v>390</v>
      </c>
      <c r="B37" s="33" t="n">
        <v>2000</v>
      </c>
      <c r="C37" s="6" t="s">
        <v>391</v>
      </c>
    </row>
    <row r="38" customFormat="false" ht="15" hidden="false" customHeight="true" outlineLevel="0" collapsed="false">
      <c r="A38" s="13" t="s">
        <v>392</v>
      </c>
      <c r="B38" s="33" t="n">
        <v>5000</v>
      </c>
      <c r="C38" s="6" t="s">
        <v>393</v>
      </c>
    </row>
    <row r="39" customFormat="false" ht="15" hidden="false" customHeight="true" outlineLevel="0" collapsed="false">
      <c r="A39" s="13" t="s">
        <v>394</v>
      </c>
      <c r="B39" s="48" t="n">
        <v>1</v>
      </c>
      <c r="C39" s="6" t="s">
        <v>395</v>
      </c>
    </row>
    <row r="40" customFormat="false" ht="15" hidden="false" customHeight="true" outlineLevel="0" collapsed="false">
      <c r="A40" s="13" t="s">
        <v>396</v>
      </c>
      <c r="B40" s="44" t="n">
        <v>3</v>
      </c>
      <c r="C40" s="6" t="s">
        <v>397</v>
      </c>
    </row>
    <row r="42" customFormat="false" ht="15" hidden="false" customHeight="true" outlineLevel="0" collapsed="false">
      <c r="A42" s="8" t="s">
        <v>398</v>
      </c>
      <c r="B42" s="9" t="s">
        <v>74</v>
      </c>
      <c r="C42" s="9" t="s">
        <v>326</v>
      </c>
    </row>
    <row r="43" customFormat="false" ht="15" hidden="false" customHeight="true" outlineLevel="0" collapsed="false">
      <c r="A43" s="13" t="s">
        <v>399</v>
      </c>
      <c r="B43" s="48" t="n">
        <v>0.21</v>
      </c>
      <c r="C43" s="6" t="s">
        <v>400</v>
      </c>
    </row>
    <row r="44" customFormat="false" ht="15" hidden="false" customHeight="true" outlineLevel="0" collapsed="false">
      <c r="A44" s="13" t="s">
        <v>401</v>
      </c>
      <c r="B44" s="33" t="n">
        <v>8200</v>
      </c>
      <c r="C44" s="6" t="s">
        <v>402</v>
      </c>
    </row>
    <row r="45" customFormat="false" ht="15" hidden="false" customHeight="true" outlineLevel="0" collapsed="false">
      <c r="A45" s="13" t="s">
        <v>403</v>
      </c>
      <c r="B45" s="39" t="n">
        <v>0.8</v>
      </c>
      <c r="C45" s="6" t="s">
        <v>404</v>
      </c>
    </row>
    <row r="46" customFormat="false" ht="15" hidden="false" customHeight="true" outlineLevel="0" collapsed="false">
      <c r="A46" s="13" t="s">
        <v>405</v>
      </c>
      <c r="B46" s="48" t="n">
        <v>0.72</v>
      </c>
      <c r="C46" s="6" t="s">
        <v>406</v>
      </c>
    </row>
    <row r="47" customFormat="false" ht="15" hidden="false" customHeight="true" outlineLevel="0" collapsed="false">
      <c r="A47" s="13" t="s">
        <v>407</v>
      </c>
      <c r="B47" s="48" t="n">
        <v>0.06</v>
      </c>
      <c r="C47" s="6" t="s">
        <v>408</v>
      </c>
    </row>
    <row r="48" customFormat="false" ht="15" hidden="false" customHeight="true" outlineLevel="0" collapsed="false">
      <c r="A48" s="13" t="s">
        <v>409</v>
      </c>
      <c r="B48" s="33" t="n">
        <v>4200</v>
      </c>
      <c r="C48" s="6" t="s">
        <v>410</v>
      </c>
    </row>
    <row r="49" customFormat="false" ht="15" hidden="false" customHeight="true" outlineLevel="0" collapsed="false">
      <c r="A49" s="13" t="s">
        <v>411</v>
      </c>
      <c r="B49" s="44" t="n">
        <v>1</v>
      </c>
      <c r="C49" s="6" t="s">
        <v>412</v>
      </c>
    </row>
    <row r="50" customFormat="false" ht="15" hidden="false" customHeight="true" outlineLevel="0" collapsed="false">
      <c r="A50" s="13" t="s">
        <v>413</v>
      </c>
      <c r="B50" s="47" t="n">
        <v>0</v>
      </c>
      <c r="C50" s="6" t="s">
        <v>414</v>
      </c>
    </row>
    <row r="51" customFormat="false" ht="15" hidden="false" customHeight="true" outlineLevel="0" collapsed="false">
      <c r="A51" s="13" t="s">
        <v>415</v>
      </c>
      <c r="B51" s="44" t="n">
        <v>2026</v>
      </c>
      <c r="C51" s="6" t="s">
        <v>416</v>
      </c>
    </row>
    <row r="53" customFormat="false" ht="15" hidden="false" customHeight="true" outlineLevel="0" collapsed="false">
      <c r="A53" s="8" t="s">
        <v>417</v>
      </c>
      <c r="B53" s="9" t="s">
        <v>418</v>
      </c>
      <c r="C53" s="9" t="s">
        <v>419</v>
      </c>
      <c r="D53" s="9" t="s">
        <v>420</v>
      </c>
      <c r="E53" s="9" t="s">
        <v>421</v>
      </c>
      <c r="F53" s="9" t="s">
        <v>422</v>
      </c>
    </row>
    <row r="54" customFormat="false" ht="15" hidden="false" customHeight="true" outlineLevel="0" collapsed="false">
      <c r="A54" s="13" t="s">
        <v>423</v>
      </c>
      <c r="B54" s="39" t="n">
        <v>0</v>
      </c>
      <c r="C54" s="39" t="n">
        <v>0.1</v>
      </c>
      <c r="D54" s="39" t="n">
        <v>0.15</v>
      </c>
      <c r="E54" s="39" t="n">
        <v>0.21</v>
      </c>
      <c r="F54" s="39" t="n">
        <v>0.21</v>
      </c>
    </row>
    <row r="55" customFormat="false" ht="15" hidden="false" customHeight="true" outlineLevel="0" collapsed="false">
      <c r="A55" s="13" t="s">
        <v>424</v>
      </c>
      <c r="B55" s="48" t="n">
        <v>0.03</v>
      </c>
      <c r="C55" s="48" t="n">
        <v>0.04</v>
      </c>
      <c r="D55" s="48" t="n">
        <v>0.05</v>
      </c>
      <c r="E55" s="48" t="n">
        <v>0.05</v>
      </c>
      <c r="F55" s="48" t="n">
        <v>0.05</v>
      </c>
    </row>
    <row r="56" customFormat="false" ht="15" hidden="false" customHeight="true" outlineLevel="0" collapsed="false">
      <c r="A56" s="13" t="s">
        <v>425</v>
      </c>
      <c r="B56" s="47" t="n">
        <v>0</v>
      </c>
      <c r="C56" s="47" t="n">
        <v>0</v>
      </c>
      <c r="D56" s="47" t="n">
        <v>0</v>
      </c>
      <c r="E56" s="47" t="n">
        <v>0</v>
      </c>
      <c r="F56" s="47" t="n">
        <v>0</v>
      </c>
    </row>
    <row r="57" customFormat="false" ht="15" hidden="false" customHeight="true" outlineLevel="0" collapsed="false">
      <c r="A57" s="6" t="s">
        <v>426</v>
      </c>
    </row>
    <row r="59" customFormat="false" ht="15" hidden="false" customHeight="true" outlineLevel="0" collapsed="false">
      <c r="A59" s="8" t="s">
        <v>427</v>
      </c>
      <c r="B59" s="9" t="s">
        <v>59</v>
      </c>
      <c r="C59" s="9" t="s">
        <v>60</v>
      </c>
      <c r="D59" s="9" t="s">
        <v>61</v>
      </c>
      <c r="E59" s="9" t="s">
        <v>428</v>
      </c>
      <c r="G59" s="8" t="s">
        <v>429</v>
      </c>
      <c r="H59" s="9" t="s">
        <v>430</v>
      </c>
      <c r="I59" s="9" t="s">
        <v>431</v>
      </c>
      <c r="J59" s="9" t="s">
        <v>432</v>
      </c>
      <c r="K59" s="9" t="s">
        <v>433</v>
      </c>
      <c r="L59" s="9" t="s">
        <v>434</v>
      </c>
      <c r="M59" s="9" t="s">
        <v>435</v>
      </c>
      <c r="N59" s="9" t="s">
        <v>436</v>
      </c>
      <c r="O59" s="9" t="s">
        <v>437</v>
      </c>
      <c r="P59" s="9" t="s">
        <v>438</v>
      </c>
    </row>
    <row r="60" customFormat="false" ht="15" hidden="false" customHeight="true" outlineLevel="0" collapsed="false">
      <c r="A60" s="13" t="s">
        <v>439</v>
      </c>
      <c r="B60" s="47" t="n">
        <v>18500</v>
      </c>
      <c r="C60" s="47" t="n">
        <v>21000</v>
      </c>
      <c r="D60" s="47" t="n">
        <v>24000</v>
      </c>
      <c r="E60" s="6" t="s">
        <v>440</v>
      </c>
      <c r="G60" s="34" t="n">
        <f aca="false">$C60</f>
        <v>21000</v>
      </c>
      <c r="H60" s="34" t="n">
        <f aca="false">$C60</f>
        <v>21000</v>
      </c>
      <c r="I60" s="34" t="n">
        <f aca="false">$C60</f>
        <v>21000</v>
      </c>
      <c r="J60" s="34" t="n">
        <f aca="false">$C60</f>
        <v>21000</v>
      </c>
      <c r="K60" s="34" t="n">
        <f aca="false">$C60</f>
        <v>21000</v>
      </c>
      <c r="L60" s="34" t="n">
        <f aca="false">$C60</f>
        <v>21000</v>
      </c>
      <c r="M60" s="34" t="n">
        <f aca="false">$C60</f>
        <v>21000</v>
      </c>
      <c r="N60" s="34" t="n">
        <f aca="false">$C60</f>
        <v>21000</v>
      </c>
      <c r="O60" s="34" t="n">
        <f aca="false">$C60</f>
        <v>21000</v>
      </c>
      <c r="P60" s="34" t="n">
        <f aca="false">$C60</f>
        <v>21000</v>
      </c>
    </row>
    <row r="61" customFormat="false" ht="15" hidden="false" customHeight="true" outlineLevel="0" collapsed="false">
      <c r="A61" s="13" t="s">
        <v>441</v>
      </c>
      <c r="B61" s="48" t="n">
        <v>0.22</v>
      </c>
      <c r="C61" s="48" t="n">
        <v>0.2</v>
      </c>
      <c r="D61" s="48" t="n">
        <v>0.18</v>
      </c>
      <c r="E61" s="6" t="s">
        <v>442</v>
      </c>
      <c r="G61" s="16" t="n">
        <f aca="false">$C61</f>
        <v>0.2</v>
      </c>
      <c r="H61" s="16" t="n">
        <f aca="false">$C61</f>
        <v>0.2</v>
      </c>
      <c r="I61" s="16" t="n">
        <f aca="false">$C61</f>
        <v>0.2</v>
      </c>
      <c r="J61" s="16" t="n">
        <f aca="false">$C61</f>
        <v>0.2</v>
      </c>
      <c r="K61" s="16" t="n">
        <f aca="false">$C61</f>
        <v>0.2</v>
      </c>
      <c r="L61" s="16" t="n">
        <f aca="false">$C61</f>
        <v>0.2</v>
      </c>
      <c r="M61" s="16" t="n">
        <f aca="false">$C61</f>
        <v>0.2</v>
      </c>
      <c r="N61" s="16" t="n">
        <f aca="false">$C61</f>
        <v>0.2</v>
      </c>
      <c r="O61" s="16" t="n">
        <f aca="false">$C61</f>
        <v>0.2</v>
      </c>
      <c r="P61" s="16" t="n">
        <f aca="false">$C61</f>
        <v>0.2</v>
      </c>
    </row>
    <row r="62" customFormat="false" ht="15" hidden="false" customHeight="true" outlineLevel="0" collapsed="false">
      <c r="A62" s="13" t="s">
        <v>443</v>
      </c>
      <c r="B62" s="48" t="n">
        <v>0.6</v>
      </c>
      <c r="C62" s="48" t="n">
        <v>1</v>
      </c>
      <c r="D62" s="48" t="n">
        <v>1.5</v>
      </c>
      <c r="E62" s="6" t="s">
        <v>444</v>
      </c>
      <c r="G62" s="16" t="n">
        <f aca="false">0</f>
        <v>0</v>
      </c>
      <c r="H62" s="16" t="n">
        <f aca="false">$C62</f>
        <v>1</v>
      </c>
      <c r="I62" s="16" t="n">
        <f aca="false">$C62*0.5</f>
        <v>0.5</v>
      </c>
      <c r="J62" s="16" t="n">
        <f aca="false">$C62</f>
        <v>1</v>
      </c>
      <c r="K62" s="16" t="n">
        <f aca="false">$C62</f>
        <v>1</v>
      </c>
      <c r="L62" s="16" t="n">
        <f aca="false">$C62*0.5</f>
        <v>0.5</v>
      </c>
      <c r="M62" s="16" t="n">
        <f aca="false">$C62</f>
        <v>1</v>
      </c>
      <c r="N62" s="16" t="n">
        <f aca="false">$C62</f>
        <v>1</v>
      </c>
      <c r="O62" s="16" t="n">
        <f aca="false">$C62</f>
        <v>1</v>
      </c>
      <c r="P62" s="16" t="n">
        <f aca="false">$C62</f>
        <v>1</v>
      </c>
    </row>
    <row r="63" customFormat="false" ht="15" hidden="false" customHeight="true" outlineLevel="0" collapsed="false">
      <c r="A63" s="13" t="s">
        <v>445</v>
      </c>
      <c r="B63" s="48" t="n">
        <v>0.3</v>
      </c>
      <c r="C63" s="48" t="n">
        <v>0.55</v>
      </c>
      <c r="D63" s="48" t="n">
        <v>0.8</v>
      </c>
      <c r="G63" s="16" t="n">
        <f aca="false">0</f>
        <v>0</v>
      </c>
      <c r="H63" s="16" t="n">
        <f aca="false">$C63</f>
        <v>0.55</v>
      </c>
      <c r="I63" s="16" t="n">
        <f aca="false">$C63*0.5</f>
        <v>0.275</v>
      </c>
      <c r="J63" s="16" t="n">
        <f aca="false">$C63</f>
        <v>0.55</v>
      </c>
      <c r="K63" s="16" t="n">
        <f aca="false">$C63</f>
        <v>0.55</v>
      </c>
      <c r="L63" s="16" t="n">
        <f aca="false">$C63*0.5</f>
        <v>0.275</v>
      </c>
      <c r="M63" s="16" t="n">
        <f aca="false">$C63</f>
        <v>0.55</v>
      </c>
      <c r="N63" s="16" t="n">
        <f aca="false">$C63</f>
        <v>0.55</v>
      </c>
      <c r="O63" s="16" t="n">
        <f aca="false">$C63</f>
        <v>0.55</v>
      </c>
      <c r="P63" s="16" t="n">
        <f aca="false">$C63</f>
        <v>0.55</v>
      </c>
    </row>
    <row r="64" customFormat="false" ht="15" hidden="false" customHeight="true" outlineLevel="0" collapsed="false">
      <c r="A64" s="13" t="s">
        <v>446</v>
      </c>
      <c r="B64" s="48" t="n">
        <v>0.2</v>
      </c>
      <c r="C64" s="48" t="n">
        <v>0.35</v>
      </c>
      <c r="D64" s="48" t="n">
        <v>0.5</v>
      </c>
      <c r="G64" s="16" t="n">
        <f aca="false">0</f>
        <v>0</v>
      </c>
      <c r="H64" s="16" t="n">
        <f aca="false">$C64</f>
        <v>0.35</v>
      </c>
      <c r="I64" s="16" t="n">
        <f aca="false">$C64*0.5</f>
        <v>0.175</v>
      </c>
      <c r="J64" s="16" t="n">
        <f aca="false">$C64</f>
        <v>0.35</v>
      </c>
      <c r="K64" s="16" t="n">
        <f aca="false">$C64</f>
        <v>0.35</v>
      </c>
      <c r="L64" s="16" t="n">
        <f aca="false">$C64*0.5</f>
        <v>0.175</v>
      </c>
      <c r="M64" s="16" t="n">
        <f aca="false">$C64</f>
        <v>0.35</v>
      </c>
      <c r="N64" s="16" t="n">
        <f aca="false">$C64</f>
        <v>0.35</v>
      </c>
      <c r="O64" s="16" t="n">
        <f aca="false">$C64</f>
        <v>0.35</v>
      </c>
      <c r="P64" s="16" t="n">
        <f aca="false">$C64</f>
        <v>0.35</v>
      </c>
    </row>
    <row r="65" customFormat="false" ht="15" hidden="false" customHeight="true" outlineLevel="0" collapsed="false">
      <c r="A65" s="13" t="s">
        <v>447</v>
      </c>
      <c r="B65" s="48" t="n">
        <v>0.15</v>
      </c>
      <c r="C65" s="48" t="n">
        <v>0.25</v>
      </c>
      <c r="D65" s="48" t="n">
        <v>0.35</v>
      </c>
      <c r="G65" s="16" t="n">
        <f aca="false">0</f>
        <v>0</v>
      </c>
      <c r="H65" s="16" t="n">
        <f aca="false">$C65</f>
        <v>0.25</v>
      </c>
      <c r="I65" s="16" t="n">
        <f aca="false">$C65*0.5</f>
        <v>0.125</v>
      </c>
      <c r="J65" s="16" t="n">
        <f aca="false">$C65</f>
        <v>0.25</v>
      </c>
      <c r="K65" s="16" t="n">
        <f aca="false">$C65</f>
        <v>0.25</v>
      </c>
      <c r="L65" s="16" t="n">
        <f aca="false">$C65*0.5</f>
        <v>0.125</v>
      </c>
      <c r="M65" s="16" t="n">
        <f aca="false">$C65</f>
        <v>0.25</v>
      </c>
      <c r="N65" s="16" t="n">
        <f aca="false">$C65</f>
        <v>0.25</v>
      </c>
      <c r="O65" s="16" t="n">
        <f aca="false">$C65</f>
        <v>0.25</v>
      </c>
      <c r="P65" s="16" t="n">
        <f aca="false">$C65</f>
        <v>0.25</v>
      </c>
    </row>
    <row r="66" customFormat="false" ht="15" hidden="false" customHeight="true" outlineLevel="0" collapsed="false">
      <c r="A66" s="13" t="s">
        <v>448</v>
      </c>
      <c r="B66" s="48" t="n">
        <v>0.5</v>
      </c>
      <c r="C66" s="48" t="n">
        <v>0.45</v>
      </c>
      <c r="D66" s="48" t="n">
        <v>0.42</v>
      </c>
      <c r="E66" s="6" t="s">
        <v>449</v>
      </c>
      <c r="G66" s="16" t="n">
        <f aca="false">$C66</f>
        <v>0.45</v>
      </c>
      <c r="H66" s="16" t="n">
        <f aca="false">$C66</f>
        <v>0.45</v>
      </c>
      <c r="I66" s="16" t="n">
        <f aca="false">$C66</f>
        <v>0.45</v>
      </c>
      <c r="J66" s="16" t="n">
        <f aca="false">$C66</f>
        <v>0.45</v>
      </c>
      <c r="K66" s="16" t="n">
        <f aca="false">$C66</f>
        <v>0.45</v>
      </c>
      <c r="L66" s="16" t="n">
        <f aca="false">$C66</f>
        <v>0.45</v>
      </c>
      <c r="M66" s="16" t="n">
        <f aca="false">$C66</f>
        <v>0.45</v>
      </c>
      <c r="N66" s="16" t="n">
        <f aca="false">$C66</f>
        <v>0.45</v>
      </c>
      <c r="O66" s="16" t="n">
        <f aca="false">$C66</f>
        <v>0.45</v>
      </c>
      <c r="P66" s="16" t="n">
        <f aca="false">$C66</f>
        <v>0.45</v>
      </c>
    </row>
    <row r="67" customFormat="false" ht="15" hidden="false" customHeight="true" outlineLevel="0" collapsed="false">
      <c r="A67" s="13" t="s">
        <v>450</v>
      </c>
      <c r="B67" s="48" t="n">
        <v>0.6</v>
      </c>
      <c r="C67" s="48" t="n">
        <v>0.7</v>
      </c>
      <c r="D67" s="48" t="n">
        <v>0.9</v>
      </c>
      <c r="E67" s="6" t="s">
        <v>451</v>
      </c>
      <c r="G67" s="16" t="n">
        <f aca="false">$C67</f>
        <v>0.7</v>
      </c>
      <c r="H67" s="16" t="n">
        <f aca="false">(1+$C67)*1.2-1</f>
        <v>1.04</v>
      </c>
      <c r="I67" s="16" t="n">
        <f aca="false">$C67</f>
        <v>0.7</v>
      </c>
      <c r="J67" s="16" t="n">
        <f aca="false">$C67</f>
        <v>0.7</v>
      </c>
      <c r="K67" s="16" t="n">
        <f aca="false">$C67</f>
        <v>0.7</v>
      </c>
      <c r="L67" s="16" t="n">
        <f aca="false">(1+$C67)*1.2-1</f>
        <v>1.04</v>
      </c>
      <c r="M67" s="16" t="n">
        <f aca="false">$C67</f>
        <v>0.7</v>
      </c>
      <c r="N67" s="16" t="n">
        <f aca="false">$C67</f>
        <v>0.7</v>
      </c>
      <c r="O67" s="16" t="n">
        <f aca="false">$C67</f>
        <v>0.7</v>
      </c>
      <c r="P67" s="16" t="n">
        <f aca="false">$C67</f>
        <v>0.7</v>
      </c>
    </row>
    <row r="68" customFormat="false" ht="15" hidden="false" customHeight="true" outlineLevel="0" collapsed="false">
      <c r="A68" s="13" t="s">
        <v>452</v>
      </c>
      <c r="B68" s="48" t="n">
        <v>0.3</v>
      </c>
      <c r="C68" s="48" t="n">
        <v>0.45</v>
      </c>
      <c r="D68" s="48" t="n">
        <v>0.6</v>
      </c>
      <c r="G68" s="16" t="n">
        <f aca="false">$C68</f>
        <v>0.45</v>
      </c>
      <c r="H68" s="16" t="n">
        <f aca="false">$C68</f>
        <v>0.45</v>
      </c>
      <c r="I68" s="16" t="n">
        <f aca="false">$C68</f>
        <v>0.45</v>
      </c>
      <c r="J68" s="16" t="n">
        <f aca="false">$C68</f>
        <v>0.45</v>
      </c>
      <c r="K68" s="16" t="n">
        <f aca="false">$C68</f>
        <v>0.45</v>
      </c>
      <c r="L68" s="16" t="n">
        <f aca="false">$C68</f>
        <v>0.45</v>
      </c>
      <c r="M68" s="16" t="n">
        <f aca="false">$C68</f>
        <v>0.45</v>
      </c>
      <c r="N68" s="16" t="n">
        <f aca="false">$C68</f>
        <v>0.45</v>
      </c>
      <c r="O68" s="16" t="n">
        <f aca="false">$C68</f>
        <v>0.45</v>
      </c>
      <c r="P68" s="16" t="n">
        <f aca="false">$C68</f>
        <v>0.45</v>
      </c>
    </row>
    <row r="69" customFormat="false" ht="15" hidden="false" customHeight="true" outlineLevel="0" collapsed="false">
      <c r="A69" s="13" t="s">
        <v>453</v>
      </c>
      <c r="B69" s="48" t="n">
        <v>0.2</v>
      </c>
      <c r="C69" s="48" t="n">
        <v>0.3</v>
      </c>
      <c r="D69" s="48" t="n">
        <v>0.45</v>
      </c>
      <c r="G69" s="16" t="n">
        <f aca="false">$C69</f>
        <v>0.3</v>
      </c>
      <c r="H69" s="16" t="n">
        <f aca="false">$C69</f>
        <v>0.3</v>
      </c>
      <c r="I69" s="16" t="n">
        <f aca="false">$C69</f>
        <v>0.3</v>
      </c>
      <c r="J69" s="16" t="n">
        <f aca="false">$C69</f>
        <v>0.3</v>
      </c>
      <c r="K69" s="16" t="n">
        <f aca="false">$C69</f>
        <v>0.3</v>
      </c>
      <c r="L69" s="16" t="n">
        <f aca="false">$C69</f>
        <v>0.3</v>
      </c>
      <c r="M69" s="16" t="n">
        <f aca="false">$C69</f>
        <v>0.3</v>
      </c>
      <c r="N69" s="16" t="n">
        <f aca="false">$C69</f>
        <v>0.3</v>
      </c>
      <c r="O69" s="16" t="n">
        <f aca="false">$C69</f>
        <v>0.3</v>
      </c>
      <c r="P69" s="16" t="n">
        <f aca="false">$C69</f>
        <v>0.3</v>
      </c>
    </row>
    <row r="70" customFormat="false" ht="15" hidden="false" customHeight="true" outlineLevel="0" collapsed="false">
      <c r="A70" s="13" t="s">
        <v>454</v>
      </c>
      <c r="B70" s="48" t="n">
        <v>0.15</v>
      </c>
      <c r="C70" s="48" t="n">
        <v>0.2</v>
      </c>
      <c r="D70" s="48" t="n">
        <v>0.3</v>
      </c>
      <c r="G70" s="16" t="n">
        <f aca="false">$C70</f>
        <v>0.2</v>
      </c>
      <c r="H70" s="16" t="n">
        <f aca="false">$C70</f>
        <v>0.2</v>
      </c>
      <c r="I70" s="16" t="n">
        <f aca="false">$C70</f>
        <v>0.2</v>
      </c>
      <c r="J70" s="16" t="n">
        <f aca="false">$C70</f>
        <v>0.2</v>
      </c>
      <c r="K70" s="16" t="n">
        <f aca="false">$C70</f>
        <v>0.2</v>
      </c>
      <c r="L70" s="16" t="n">
        <f aca="false">$C70</f>
        <v>0.2</v>
      </c>
      <c r="M70" s="16" t="n">
        <f aca="false">$C70</f>
        <v>0.2</v>
      </c>
      <c r="N70" s="16" t="n">
        <f aca="false">$C70</f>
        <v>0.2</v>
      </c>
      <c r="O70" s="16" t="n">
        <f aca="false">$C70</f>
        <v>0.2</v>
      </c>
      <c r="P70" s="16" t="n">
        <f aca="false">$C70</f>
        <v>0.2</v>
      </c>
    </row>
    <row r="71" customFormat="false" ht="15" hidden="false" customHeight="true" outlineLevel="0" collapsed="false">
      <c r="A71" s="13" t="s">
        <v>455</v>
      </c>
      <c r="B71" s="48" t="n">
        <v>0.16</v>
      </c>
      <c r="C71" s="48" t="n">
        <v>0.14</v>
      </c>
      <c r="D71" s="48" t="n">
        <v>0.13</v>
      </c>
      <c r="E71" s="6" t="s">
        <v>456</v>
      </c>
      <c r="G71" s="16" t="n">
        <f aca="false">$C71</f>
        <v>0.14</v>
      </c>
      <c r="H71" s="16" t="n">
        <f aca="false">$C71</f>
        <v>0.14</v>
      </c>
      <c r="I71" s="16" t="n">
        <f aca="false">$C71</f>
        <v>0.14</v>
      </c>
      <c r="J71" s="16" t="n">
        <f aca="false">$C71</f>
        <v>0.14</v>
      </c>
      <c r="K71" s="16" t="n">
        <f aca="false">$C71</f>
        <v>0.14</v>
      </c>
      <c r="L71" s="16" t="n">
        <f aca="false">$C71</f>
        <v>0.14</v>
      </c>
      <c r="M71" s="16" t="n">
        <f aca="false">$C71</f>
        <v>0.14</v>
      </c>
      <c r="N71" s="16" t="n">
        <f aca="false">$C71</f>
        <v>0.14</v>
      </c>
      <c r="O71" s="16" t="n">
        <f aca="false">$C71</f>
        <v>0.14</v>
      </c>
      <c r="P71" s="16" t="n">
        <f aca="false">$C71</f>
        <v>0.14</v>
      </c>
    </row>
    <row r="72" customFormat="false" ht="15" hidden="false" customHeight="true" outlineLevel="0" collapsed="false">
      <c r="A72" s="13" t="s">
        <v>457</v>
      </c>
      <c r="B72" s="48" t="n">
        <v>0.15</v>
      </c>
      <c r="C72" s="48" t="n">
        <v>0.13</v>
      </c>
      <c r="D72" s="48" t="n">
        <v>0.12</v>
      </c>
      <c r="G72" s="16" t="n">
        <f aca="false">$C72</f>
        <v>0.13</v>
      </c>
      <c r="H72" s="16" t="n">
        <f aca="false">$C72</f>
        <v>0.13</v>
      </c>
      <c r="I72" s="16" t="n">
        <f aca="false">$C72</f>
        <v>0.13</v>
      </c>
      <c r="J72" s="16" t="n">
        <f aca="false">$C72</f>
        <v>0.13</v>
      </c>
      <c r="K72" s="16" t="n">
        <f aca="false">$C72</f>
        <v>0.13</v>
      </c>
      <c r="L72" s="16" t="n">
        <f aca="false">$C72</f>
        <v>0.13</v>
      </c>
      <c r="M72" s="16" t="n">
        <f aca="false">$C72</f>
        <v>0.13</v>
      </c>
      <c r="N72" s="16" t="n">
        <f aca="false">$C72</f>
        <v>0.13</v>
      </c>
      <c r="O72" s="16" t="n">
        <f aca="false">$C72</f>
        <v>0.13</v>
      </c>
      <c r="P72" s="16" t="n">
        <f aca="false">$C72</f>
        <v>0.13</v>
      </c>
    </row>
    <row r="73" customFormat="false" ht="15" hidden="false" customHeight="true" outlineLevel="0" collapsed="false">
      <c r="A73" s="13" t="s">
        <v>458</v>
      </c>
      <c r="B73" s="48" t="n">
        <v>0.14</v>
      </c>
      <c r="C73" s="48" t="n">
        <v>0.12</v>
      </c>
      <c r="D73" s="48" t="n">
        <v>0.11</v>
      </c>
      <c r="G73" s="16" t="n">
        <f aca="false">$C73</f>
        <v>0.12</v>
      </c>
      <c r="H73" s="16" t="n">
        <f aca="false">$C73</f>
        <v>0.12</v>
      </c>
      <c r="I73" s="16" t="n">
        <f aca="false">$C73</f>
        <v>0.12</v>
      </c>
      <c r="J73" s="16" t="n">
        <f aca="false">$C73</f>
        <v>0.12</v>
      </c>
      <c r="K73" s="16" t="n">
        <f aca="false">$C73</f>
        <v>0.12</v>
      </c>
      <c r="L73" s="16" t="n">
        <f aca="false">$C73</f>
        <v>0.12</v>
      </c>
      <c r="M73" s="16" t="n">
        <f aca="false">$C73</f>
        <v>0.12</v>
      </c>
      <c r="N73" s="16" t="n">
        <f aca="false">$C73</f>
        <v>0.12</v>
      </c>
      <c r="O73" s="16" t="n">
        <f aca="false">$C73</f>
        <v>0.12</v>
      </c>
      <c r="P73" s="16" t="n">
        <f aca="false">$C73</f>
        <v>0.12</v>
      </c>
    </row>
    <row r="74" customFormat="false" ht="15" hidden="false" customHeight="true" outlineLevel="0" collapsed="false">
      <c r="A74" s="13" t="s">
        <v>459</v>
      </c>
      <c r="B74" s="48" t="n">
        <v>0.13</v>
      </c>
      <c r="C74" s="48" t="n">
        <v>0.11</v>
      </c>
      <c r="D74" s="48" t="n">
        <v>0.1</v>
      </c>
      <c r="G74" s="16" t="n">
        <f aca="false">$C74</f>
        <v>0.11</v>
      </c>
      <c r="H74" s="16" t="n">
        <f aca="false">$C74</f>
        <v>0.11</v>
      </c>
      <c r="I74" s="16" t="n">
        <f aca="false">$C74</f>
        <v>0.11</v>
      </c>
      <c r="J74" s="16" t="n">
        <f aca="false">$C74</f>
        <v>0.11</v>
      </c>
      <c r="K74" s="16" t="n">
        <f aca="false">$C74</f>
        <v>0.11</v>
      </c>
      <c r="L74" s="16" t="n">
        <f aca="false">$C74</f>
        <v>0.11</v>
      </c>
      <c r="M74" s="16" t="n">
        <f aca="false">$C74</f>
        <v>0.11</v>
      </c>
      <c r="N74" s="16" t="n">
        <f aca="false">$C74</f>
        <v>0.11</v>
      </c>
      <c r="O74" s="16" t="n">
        <f aca="false">$C74</f>
        <v>0.11</v>
      </c>
      <c r="P74" s="16" t="n">
        <f aca="false">$C74</f>
        <v>0.11</v>
      </c>
    </row>
    <row r="75" customFormat="false" ht="15" hidden="false" customHeight="true" outlineLevel="0" collapsed="false">
      <c r="A75" s="13" t="s">
        <v>460</v>
      </c>
      <c r="B75" s="48" t="n">
        <v>0.1</v>
      </c>
      <c r="C75" s="48" t="n">
        <v>0.09</v>
      </c>
      <c r="D75" s="48" t="n">
        <v>0.08</v>
      </c>
      <c r="E75" s="6" t="s">
        <v>461</v>
      </c>
      <c r="G75" s="16" t="n">
        <f aca="false">$C75</f>
        <v>0.09</v>
      </c>
      <c r="H75" s="16" t="n">
        <f aca="false">$C75</f>
        <v>0.09</v>
      </c>
      <c r="I75" s="16" t="n">
        <f aca="false">$C75</f>
        <v>0.09</v>
      </c>
      <c r="J75" s="16" t="n">
        <f aca="false">$C75</f>
        <v>0.09</v>
      </c>
      <c r="K75" s="16" t="n">
        <f aca="false">$C75</f>
        <v>0.09</v>
      </c>
      <c r="L75" s="16" t="n">
        <f aca="false">$C75</f>
        <v>0.09</v>
      </c>
      <c r="M75" s="16" t="n">
        <f aca="false">$C75</f>
        <v>0.09</v>
      </c>
      <c r="N75" s="16" t="n">
        <f aca="false">$C75</f>
        <v>0.09</v>
      </c>
      <c r="O75" s="16" t="n">
        <f aca="false">$C75</f>
        <v>0.09</v>
      </c>
      <c r="P75" s="16" t="n">
        <f aca="false">$C75</f>
        <v>0.09</v>
      </c>
    </row>
    <row r="76" customFormat="false" ht="15" hidden="false" customHeight="true" outlineLevel="0" collapsed="false">
      <c r="A76" s="13" t="s">
        <v>462</v>
      </c>
      <c r="B76" s="48" t="n">
        <v>0.09</v>
      </c>
      <c r="C76" s="48" t="n">
        <v>0.08</v>
      </c>
      <c r="D76" s="48" t="n">
        <v>0.07</v>
      </c>
      <c r="G76" s="16" t="n">
        <f aca="false">$C76</f>
        <v>0.08</v>
      </c>
      <c r="H76" s="16" t="n">
        <f aca="false">$C76</f>
        <v>0.08</v>
      </c>
      <c r="I76" s="16" t="n">
        <f aca="false">$C76</f>
        <v>0.08</v>
      </c>
      <c r="J76" s="16" t="n">
        <f aca="false">$C76</f>
        <v>0.08</v>
      </c>
      <c r="K76" s="16" t="n">
        <f aca="false">$C76</f>
        <v>0.08</v>
      </c>
      <c r="L76" s="16" t="n">
        <f aca="false">$C76</f>
        <v>0.08</v>
      </c>
      <c r="M76" s="16" t="n">
        <f aca="false">$C76</f>
        <v>0.08</v>
      </c>
      <c r="N76" s="16" t="n">
        <f aca="false">$C76</f>
        <v>0.08</v>
      </c>
      <c r="O76" s="16" t="n">
        <f aca="false">$C76</f>
        <v>0.08</v>
      </c>
      <c r="P76" s="16" t="n">
        <f aca="false">$C76</f>
        <v>0.08</v>
      </c>
    </row>
    <row r="77" customFormat="false" ht="15" hidden="false" customHeight="true" outlineLevel="0" collapsed="false">
      <c r="A77" s="13" t="s">
        <v>463</v>
      </c>
      <c r="B77" s="48" t="n">
        <v>0.08</v>
      </c>
      <c r="C77" s="48" t="n">
        <v>0.07</v>
      </c>
      <c r="D77" s="48" t="n">
        <v>0.06</v>
      </c>
      <c r="G77" s="16" t="n">
        <f aca="false">$C77</f>
        <v>0.07</v>
      </c>
      <c r="H77" s="16" t="n">
        <f aca="false">$C77</f>
        <v>0.07</v>
      </c>
      <c r="I77" s="16" t="n">
        <f aca="false">$C77</f>
        <v>0.07</v>
      </c>
      <c r="J77" s="16" t="n">
        <f aca="false">$C77</f>
        <v>0.07</v>
      </c>
      <c r="K77" s="16" t="n">
        <f aca="false">$C77</f>
        <v>0.07</v>
      </c>
      <c r="L77" s="16" t="n">
        <f aca="false">$C77</f>
        <v>0.07</v>
      </c>
      <c r="M77" s="16" t="n">
        <f aca="false">$C77</f>
        <v>0.07</v>
      </c>
      <c r="N77" s="16" t="n">
        <f aca="false">$C77</f>
        <v>0.07</v>
      </c>
      <c r="O77" s="16" t="n">
        <f aca="false">$C77</f>
        <v>0.07</v>
      </c>
      <c r="P77" s="16" t="n">
        <f aca="false">$C77</f>
        <v>0.07</v>
      </c>
    </row>
    <row r="78" customFormat="false" ht="15" hidden="false" customHeight="true" outlineLevel="0" collapsed="false">
      <c r="A78" s="13" t="s">
        <v>464</v>
      </c>
      <c r="B78" s="48" t="n">
        <v>0.07</v>
      </c>
      <c r="C78" s="48" t="n">
        <v>0.06</v>
      </c>
      <c r="D78" s="48" t="n">
        <v>0.05</v>
      </c>
      <c r="G78" s="16" t="n">
        <f aca="false">$C78</f>
        <v>0.06</v>
      </c>
      <c r="H78" s="16" t="n">
        <f aca="false">$C78</f>
        <v>0.06</v>
      </c>
      <c r="I78" s="16" t="n">
        <f aca="false">$C78</f>
        <v>0.06</v>
      </c>
      <c r="J78" s="16" t="n">
        <f aca="false">$C78</f>
        <v>0.06</v>
      </c>
      <c r="K78" s="16" t="n">
        <f aca="false">$C78</f>
        <v>0.06</v>
      </c>
      <c r="L78" s="16" t="n">
        <f aca="false">$C78</f>
        <v>0.06</v>
      </c>
      <c r="M78" s="16" t="n">
        <f aca="false">$C78</f>
        <v>0.06</v>
      </c>
      <c r="N78" s="16" t="n">
        <f aca="false">$C78</f>
        <v>0.06</v>
      </c>
      <c r="O78" s="16" t="n">
        <f aca="false">$C78</f>
        <v>0.06</v>
      </c>
      <c r="P78" s="16" t="n">
        <f aca="false">$C78</f>
        <v>0.06</v>
      </c>
    </row>
    <row r="79" customFormat="false" ht="15" hidden="false" customHeight="true" outlineLevel="0" collapsed="false">
      <c r="A79" s="13" t="s">
        <v>465</v>
      </c>
      <c r="B79" s="48" t="n">
        <v>0.18</v>
      </c>
      <c r="C79" s="48" t="n">
        <v>0.17</v>
      </c>
      <c r="D79" s="48" t="n">
        <v>0.16</v>
      </c>
      <c r="E79" s="6" t="s">
        <v>466</v>
      </c>
      <c r="G79" s="16" t="n">
        <f aca="false">$C79</f>
        <v>0.17</v>
      </c>
      <c r="H79" s="16" t="n">
        <f aca="false">$C79</f>
        <v>0.17</v>
      </c>
      <c r="I79" s="16" t="n">
        <f aca="false">$C79</f>
        <v>0.17</v>
      </c>
      <c r="J79" s="16" t="n">
        <f aca="false">$C79</f>
        <v>0.17</v>
      </c>
      <c r="K79" s="16" t="n">
        <f aca="false">$C79</f>
        <v>0.17</v>
      </c>
      <c r="L79" s="16" t="n">
        <f aca="false">$C79</f>
        <v>0.17</v>
      </c>
      <c r="M79" s="16" t="n">
        <f aca="false">$C79</f>
        <v>0.17</v>
      </c>
      <c r="N79" s="16" t="n">
        <f aca="false">$C79</f>
        <v>0.17</v>
      </c>
      <c r="O79" s="16" t="n">
        <f aca="false">$C79</f>
        <v>0.17</v>
      </c>
      <c r="P79" s="16" t="n">
        <f aca="false">$C79</f>
        <v>0.17</v>
      </c>
    </row>
    <row r="80" customFormat="false" ht="15" hidden="false" customHeight="true" outlineLevel="0" collapsed="false">
      <c r="A80" s="13" t="s">
        <v>467</v>
      </c>
      <c r="B80" s="48" t="n">
        <v>0.17</v>
      </c>
      <c r="C80" s="48" t="n">
        <v>0.16</v>
      </c>
      <c r="D80" s="48" t="n">
        <v>0.15</v>
      </c>
      <c r="G80" s="16" t="n">
        <f aca="false">$C80</f>
        <v>0.16</v>
      </c>
      <c r="H80" s="16" t="n">
        <f aca="false">$C80</f>
        <v>0.16</v>
      </c>
      <c r="I80" s="16" t="n">
        <f aca="false">$C80</f>
        <v>0.16</v>
      </c>
      <c r="J80" s="16" t="n">
        <f aca="false">$C80</f>
        <v>0.16</v>
      </c>
      <c r="K80" s="16" t="n">
        <f aca="false">$C80</f>
        <v>0.16</v>
      </c>
      <c r="L80" s="16" t="n">
        <f aca="false">$C80</f>
        <v>0.16</v>
      </c>
      <c r="M80" s="16" t="n">
        <f aca="false">$C80</f>
        <v>0.16</v>
      </c>
      <c r="N80" s="16" t="n">
        <f aca="false">$C80</f>
        <v>0.16</v>
      </c>
      <c r="O80" s="16" t="n">
        <f aca="false">$C80</f>
        <v>0.16</v>
      </c>
      <c r="P80" s="16" t="n">
        <f aca="false">$C80</f>
        <v>0.16</v>
      </c>
    </row>
    <row r="81" customFormat="false" ht="15" hidden="false" customHeight="true" outlineLevel="0" collapsed="false">
      <c r="A81" s="13" t="s">
        <v>468</v>
      </c>
      <c r="B81" s="48" t="n">
        <v>0.16</v>
      </c>
      <c r="C81" s="48" t="n">
        <v>0.15</v>
      </c>
      <c r="D81" s="48" t="n">
        <v>0.14</v>
      </c>
      <c r="G81" s="16" t="n">
        <f aca="false">$C81</f>
        <v>0.15</v>
      </c>
      <c r="H81" s="16" t="n">
        <f aca="false">$C81</f>
        <v>0.15</v>
      </c>
      <c r="I81" s="16" t="n">
        <f aca="false">$C81</f>
        <v>0.15</v>
      </c>
      <c r="J81" s="16" t="n">
        <f aca="false">$C81</f>
        <v>0.15</v>
      </c>
      <c r="K81" s="16" t="n">
        <f aca="false">$C81</f>
        <v>0.15</v>
      </c>
      <c r="L81" s="16" t="n">
        <f aca="false">$C81</f>
        <v>0.15</v>
      </c>
      <c r="M81" s="16" t="n">
        <f aca="false">$C81</f>
        <v>0.15</v>
      </c>
      <c r="N81" s="16" t="n">
        <f aca="false">$C81</f>
        <v>0.15</v>
      </c>
      <c r="O81" s="16" t="n">
        <f aca="false">$C81</f>
        <v>0.15</v>
      </c>
      <c r="P81" s="16" t="n">
        <f aca="false">$C81</f>
        <v>0.15</v>
      </c>
    </row>
    <row r="82" customFormat="false" ht="15" hidden="false" customHeight="true" outlineLevel="0" collapsed="false">
      <c r="A82" s="13" t="s">
        <v>469</v>
      </c>
      <c r="B82" s="48" t="n">
        <v>0.16</v>
      </c>
      <c r="C82" s="48" t="n">
        <v>0.15</v>
      </c>
      <c r="D82" s="48" t="n">
        <v>0.13</v>
      </c>
      <c r="G82" s="16" t="n">
        <f aca="false">$C82</f>
        <v>0.15</v>
      </c>
      <c r="H82" s="16" t="n">
        <f aca="false">$C82</f>
        <v>0.15</v>
      </c>
      <c r="I82" s="16" t="n">
        <f aca="false">$C82</f>
        <v>0.15</v>
      </c>
      <c r="J82" s="16" t="n">
        <f aca="false">$C82</f>
        <v>0.15</v>
      </c>
      <c r="K82" s="16" t="n">
        <f aca="false">$C82</f>
        <v>0.15</v>
      </c>
      <c r="L82" s="16" t="n">
        <f aca="false">$C82</f>
        <v>0.15</v>
      </c>
      <c r="M82" s="16" t="n">
        <f aca="false">$C82</f>
        <v>0.15</v>
      </c>
      <c r="N82" s="16" t="n">
        <f aca="false">$C82</f>
        <v>0.15</v>
      </c>
      <c r="O82" s="16" t="n">
        <f aca="false">$C82</f>
        <v>0.15</v>
      </c>
      <c r="P82" s="16" t="n">
        <f aca="false">$C82</f>
        <v>0.15</v>
      </c>
    </row>
    <row r="83" customFormat="false" ht="15" hidden="false" customHeight="true" outlineLevel="0" collapsed="false">
      <c r="A83" s="13" t="s">
        <v>470</v>
      </c>
      <c r="B83" s="48" t="n">
        <v>0.09</v>
      </c>
      <c r="C83" s="48" t="n">
        <v>0.08</v>
      </c>
      <c r="D83" s="48" t="n">
        <v>0.07</v>
      </c>
      <c r="E83" s="6" t="s">
        <v>471</v>
      </c>
      <c r="G83" s="16" t="n">
        <f aca="false">$C83</f>
        <v>0.08</v>
      </c>
      <c r="H83" s="16" t="n">
        <f aca="false">$C83</f>
        <v>0.08</v>
      </c>
      <c r="I83" s="16" t="n">
        <f aca="false">$C83</f>
        <v>0.08</v>
      </c>
      <c r="J83" s="16" t="n">
        <f aca="false">$C83</f>
        <v>0.08</v>
      </c>
      <c r="K83" s="16" t="n">
        <f aca="false">$C83</f>
        <v>0.08</v>
      </c>
      <c r="L83" s="16" t="n">
        <f aca="false">$C83</f>
        <v>0.08</v>
      </c>
      <c r="M83" s="16" t="n">
        <f aca="false">$C83</f>
        <v>0.08</v>
      </c>
      <c r="N83" s="16" t="n">
        <f aca="false">$C83</f>
        <v>0.08</v>
      </c>
      <c r="O83" s="16" t="n">
        <f aca="false">$C83</f>
        <v>0.08</v>
      </c>
      <c r="P83" s="16" t="n">
        <f aca="false">$C83</f>
        <v>0.08</v>
      </c>
    </row>
    <row r="84" customFormat="false" ht="15" hidden="false" customHeight="true" outlineLevel="0" collapsed="false">
      <c r="A84" s="13" t="s">
        <v>472</v>
      </c>
      <c r="B84" s="48" t="n">
        <v>0.08</v>
      </c>
      <c r="C84" s="48" t="n">
        <v>0.07</v>
      </c>
      <c r="D84" s="48" t="n">
        <v>0.06</v>
      </c>
      <c r="G84" s="16" t="n">
        <f aca="false">$C84</f>
        <v>0.07</v>
      </c>
      <c r="H84" s="16" t="n">
        <f aca="false">$C84</f>
        <v>0.07</v>
      </c>
      <c r="I84" s="16" t="n">
        <f aca="false">$C84</f>
        <v>0.07</v>
      </c>
      <c r="J84" s="16" t="n">
        <f aca="false">$C84</f>
        <v>0.07</v>
      </c>
      <c r="K84" s="16" t="n">
        <f aca="false">$C84</f>
        <v>0.07</v>
      </c>
      <c r="L84" s="16" t="n">
        <f aca="false">$C84</f>
        <v>0.07</v>
      </c>
      <c r="M84" s="16" t="n">
        <f aca="false">$C84</f>
        <v>0.07</v>
      </c>
      <c r="N84" s="16" t="n">
        <f aca="false">$C84</f>
        <v>0.07</v>
      </c>
      <c r="O84" s="16" t="n">
        <f aca="false">$C84</f>
        <v>0.07</v>
      </c>
      <c r="P84" s="16" t="n">
        <f aca="false">$C84</f>
        <v>0.07</v>
      </c>
    </row>
    <row r="85" customFormat="false" ht="15" hidden="false" customHeight="true" outlineLevel="0" collapsed="false">
      <c r="A85" s="13" t="s">
        <v>473</v>
      </c>
      <c r="B85" s="48" t="n">
        <v>0.07</v>
      </c>
      <c r="C85" s="48" t="n">
        <v>0.06</v>
      </c>
      <c r="D85" s="48" t="n">
        <v>0.05</v>
      </c>
      <c r="G85" s="16" t="n">
        <f aca="false">$C85</f>
        <v>0.06</v>
      </c>
      <c r="H85" s="16" t="n">
        <f aca="false">$C85</f>
        <v>0.06</v>
      </c>
      <c r="I85" s="16" t="n">
        <f aca="false">$C85</f>
        <v>0.06</v>
      </c>
      <c r="J85" s="16" t="n">
        <f aca="false">$C85</f>
        <v>0.06</v>
      </c>
      <c r="K85" s="16" t="n">
        <f aca="false">$C85</f>
        <v>0.06</v>
      </c>
      <c r="L85" s="16" t="n">
        <f aca="false">$C85</f>
        <v>0.06</v>
      </c>
      <c r="M85" s="16" t="n">
        <f aca="false">$C85</f>
        <v>0.06</v>
      </c>
      <c r="N85" s="16" t="n">
        <f aca="false">$C85</f>
        <v>0.06</v>
      </c>
      <c r="O85" s="16" t="n">
        <f aca="false">$C85</f>
        <v>0.06</v>
      </c>
      <c r="P85" s="16" t="n">
        <f aca="false">$C85</f>
        <v>0.06</v>
      </c>
    </row>
    <row r="86" customFormat="false" ht="15" hidden="false" customHeight="true" outlineLevel="0" collapsed="false">
      <c r="A86" s="13" t="s">
        <v>474</v>
      </c>
      <c r="B86" s="48" t="n">
        <v>0.07</v>
      </c>
      <c r="C86" s="48" t="n">
        <v>0.06</v>
      </c>
      <c r="D86" s="48" t="n">
        <v>0.05</v>
      </c>
      <c r="G86" s="16" t="n">
        <f aca="false">$C86</f>
        <v>0.06</v>
      </c>
      <c r="H86" s="16" t="n">
        <f aca="false">$C86</f>
        <v>0.06</v>
      </c>
      <c r="I86" s="16" t="n">
        <f aca="false">$C86</f>
        <v>0.06</v>
      </c>
      <c r="J86" s="16" t="n">
        <f aca="false">$C86</f>
        <v>0.06</v>
      </c>
      <c r="K86" s="16" t="n">
        <f aca="false">$C86</f>
        <v>0.06</v>
      </c>
      <c r="L86" s="16" t="n">
        <f aca="false">$C86</f>
        <v>0.06</v>
      </c>
      <c r="M86" s="16" t="n">
        <f aca="false">$C86</f>
        <v>0.06</v>
      </c>
      <c r="N86" s="16" t="n">
        <f aca="false">$C86</f>
        <v>0.06</v>
      </c>
      <c r="O86" s="16" t="n">
        <f aca="false">$C86</f>
        <v>0.06</v>
      </c>
      <c r="P86" s="16" t="n">
        <f aca="false">$C86</f>
        <v>0.06</v>
      </c>
    </row>
    <row r="87" customFormat="false" ht="15" hidden="false" customHeight="true" outlineLevel="0" collapsed="false">
      <c r="A87" s="13" t="s">
        <v>475</v>
      </c>
      <c r="B87" s="49" t="n">
        <v>20</v>
      </c>
      <c r="C87" s="49" t="n">
        <v>30</v>
      </c>
      <c r="D87" s="49" t="n">
        <v>35</v>
      </c>
      <c r="E87" s="6" t="s">
        <v>476</v>
      </c>
      <c r="G87" s="28" t="n">
        <f aca="false">$C87</f>
        <v>30</v>
      </c>
      <c r="H87" s="28" t="n">
        <f aca="false">$C87</f>
        <v>30</v>
      </c>
      <c r="I87" s="28" t="n">
        <f aca="false">$C87</f>
        <v>30</v>
      </c>
      <c r="J87" s="28" t="n">
        <f aca="false">$C87*0.75</f>
        <v>22.5</v>
      </c>
      <c r="K87" s="28" t="n">
        <f aca="false">$C87</f>
        <v>30</v>
      </c>
      <c r="L87" s="28" t="n">
        <f aca="false">$C87*0.75</f>
        <v>22.5</v>
      </c>
      <c r="M87" s="28" t="n">
        <f aca="false">$C87</f>
        <v>30</v>
      </c>
      <c r="N87" s="28" t="n">
        <f aca="false">$C87</f>
        <v>30</v>
      </c>
      <c r="O87" s="28" t="n">
        <f aca="false">$C87</f>
        <v>30</v>
      </c>
      <c r="P87" s="28" t="n">
        <f aca="false">$C87</f>
        <v>30</v>
      </c>
    </row>
    <row r="88" customFormat="false" ht="15" hidden="false" customHeight="true" outlineLevel="0" collapsed="false">
      <c r="A88" s="13" t="s">
        <v>477</v>
      </c>
      <c r="B88" s="49" t="n">
        <v>18</v>
      </c>
      <c r="C88" s="49" t="n">
        <v>28</v>
      </c>
      <c r="D88" s="49" t="n">
        <v>32</v>
      </c>
      <c r="E88" s="6" t="s">
        <v>478</v>
      </c>
      <c r="G88" s="28" t="n">
        <f aca="false">$C88</f>
        <v>28</v>
      </c>
      <c r="H88" s="28" t="n">
        <f aca="false">$C88</f>
        <v>28</v>
      </c>
      <c r="I88" s="28" t="n">
        <f aca="false">$C88</f>
        <v>28</v>
      </c>
      <c r="J88" s="28" t="n">
        <f aca="false">$C88*0.75</f>
        <v>21</v>
      </c>
      <c r="K88" s="28" t="n">
        <f aca="false">$C88</f>
        <v>28</v>
      </c>
      <c r="L88" s="28" t="n">
        <f aca="false">$C88*0.75</f>
        <v>21</v>
      </c>
      <c r="M88" s="28" t="n">
        <f aca="false">$C88</f>
        <v>28</v>
      </c>
      <c r="N88" s="28" t="n">
        <f aca="false">$C88</f>
        <v>28</v>
      </c>
      <c r="O88" s="28" t="n">
        <f aca="false">$C88</f>
        <v>28</v>
      </c>
      <c r="P88" s="28" t="n">
        <f aca="false">$C88</f>
        <v>28</v>
      </c>
    </row>
    <row r="89" customFormat="false" ht="15" hidden="false" customHeight="true" outlineLevel="0" collapsed="false">
      <c r="A89" s="13" t="s">
        <v>479</v>
      </c>
      <c r="B89" s="48" t="n">
        <v>0</v>
      </c>
      <c r="C89" s="48" t="n">
        <v>0</v>
      </c>
      <c r="D89" s="48" t="n">
        <v>0</v>
      </c>
      <c r="E89" s="6" t="s">
        <v>480</v>
      </c>
      <c r="G89" s="16" t="n">
        <f aca="false">$C89</f>
        <v>0</v>
      </c>
      <c r="H89" s="16" t="n">
        <f aca="false">$C89</f>
        <v>0</v>
      </c>
      <c r="I89" s="16" t="n">
        <f aca="false">$C89</f>
        <v>0</v>
      </c>
      <c r="J89" s="16" t="n">
        <f aca="false">$C89</f>
        <v>0</v>
      </c>
      <c r="K89" s="16" t="n">
        <f aca="false">0.02</f>
        <v>0.02</v>
      </c>
      <c r="L89" s="16" t="n">
        <f aca="false">0.02</f>
        <v>0.02</v>
      </c>
      <c r="M89" s="16" t="n">
        <f aca="false">$C89</f>
        <v>0</v>
      </c>
      <c r="N89" s="16" t="n">
        <f aca="false">$C89</f>
        <v>0</v>
      </c>
      <c r="O89" s="16" t="n">
        <f aca="false">$C89</f>
        <v>0</v>
      </c>
      <c r="P89" s="16" t="n">
        <f aca="false">$C89</f>
        <v>0</v>
      </c>
    </row>
    <row r="90" customFormat="false" ht="15" hidden="false" customHeight="true" outlineLevel="0" collapsed="false">
      <c r="A90" s="13" t="s">
        <v>481</v>
      </c>
      <c r="B90" s="44" t="n">
        <v>1</v>
      </c>
      <c r="C90" s="44" t="n">
        <v>1</v>
      </c>
      <c r="D90" s="44" t="n">
        <v>1</v>
      </c>
      <c r="E90" s="6" t="s">
        <v>482</v>
      </c>
      <c r="G90" s="50" t="n">
        <f aca="false">$C90</f>
        <v>1</v>
      </c>
      <c r="H90" s="50" t="n">
        <f aca="false">$C90</f>
        <v>1</v>
      </c>
      <c r="I90" s="50" t="n">
        <f aca="false">$C90</f>
        <v>1</v>
      </c>
      <c r="J90" s="50" t="n">
        <f aca="false">$C90</f>
        <v>1</v>
      </c>
      <c r="K90" s="50" t="n">
        <f aca="false">$C90</f>
        <v>1</v>
      </c>
      <c r="L90" s="50" t="n">
        <f aca="false">$C90</f>
        <v>1</v>
      </c>
      <c r="M90" s="50" t="n">
        <f aca="false">2</f>
        <v>2</v>
      </c>
      <c r="N90" s="50" t="n">
        <f aca="false">2</f>
        <v>2</v>
      </c>
      <c r="O90" s="50" t="n">
        <f aca="false">2</f>
        <v>2</v>
      </c>
      <c r="P90" s="50" t="n">
        <f aca="false">$C90</f>
        <v>1</v>
      </c>
    </row>
    <row r="91" customFormat="false" ht="15" hidden="false" customHeight="true" outlineLevel="0" collapsed="false">
      <c r="A91" s="13" t="s">
        <v>483</v>
      </c>
      <c r="B91" s="48" t="n">
        <v>0.25</v>
      </c>
      <c r="C91" s="48" t="n">
        <v>0.25</v>
      </c>
      <c r="D91" s="48" t="n">
        <v>0.25</v>
      </c>
      <c r="E91" s="6" t="s">
        <v>484</v>
      </c>
      <c r="G91" s="16" t="n">
        <f aca="false">$C91</f>
        <v>0.25</v>
      </c>
      <c r="H91" s="16" t="n">
        <f aca="false">$C91</f>
        <v>0.25</v>
      </c>
      <c r="I91" s="16" t="n">
        <f aca="false">$C91</f>
        <v>0.25</v>
      </c>
      <c r="J91" s="16" t="n">
        <f aca="false">$C91</f>
        <v>0.25</v>
      </c>
      <c r="K91" s="16" t="n">
        <f aca="false">$C91</f>
        <v>0.25</v>
      </c>
      <c r="L91" s="16" t="n">
        <f aca="false">$C91</f>
        <v>0.25</v>
      </c>
      <c r="M91" s="16" t="n">
        <f aca="false">0.21</f>
        <v>0.21</v>
      </c>
      <c r="N91" s="16" t="n">
        <f aca="false">0.25</f>
        <v>0.25</v>
      </c>
      <c r="O91" s="16" t="n">
        <f aca="false">0.28</f>
        <v>0.28</v>
      </c>
      <c r="P91" s="16" t="n">
        <f aca="false">$C91</f>
        <v>0.25</v>
      </c>
    </row>
    <row r="92" customFormat="false" ht="15" hidden="false" customHeight="true" outlineLevel="0" collapsed="false">
      <c r="A92" s="13" t="s">
        <v>485</v>
      </c>
      <c r="B92" s="47" t="n">
        <v>0</v>
      </c>
      <c r="C92" s="47" t="n">
        <v>0</v>
      </c>
      <c r="D92" s="47" t="n">
        <v>0</v>
      </c>
      <c r="E92" s="6" t="s">
        <v>486</v>
      </c>
      <c r="G92" s="34" t="n">
        <f aca="false">$C92</f>
        <v>0</v>
      </c>
      <c r="H92" s="34" t="n">
        <f aca="false">$C92</f>
        <v>0</v>
      </c>
      <c r="I92" s="34" t="n">
        <f aca="false">$C92</f>
        <v>0</v>
      </c>
      <c r="J92" s="34" t="n">
        <f aca="false">$C92</f>
        <v>0</v>
      </c>
      <c r="K92" s="34" t="n">
        <f aca="false">$C92</f>
        <v>0</v>
      </c>
      <c r="L92" s="34" t="n">
        <f aca="false">$C92</f>
        <v>0</v>
      </c>
      <c r="M92" s="34" t="n">
        <f aca="false">$C92</f>
        <v>0</v>
      </c>
      <c r="N92" s="34" t="n">
        <f aca="false">$C92</f>
        <v>0</v>
      </c>
      <c r="O92" s="34" t="n">
        <f aca="false">$C92</f>
        <v>0</v>
      </c>
      <c r="P92" s="34" t="n">
        <f aca="false">200000</f>
        <v>200000</v>
      </c>
    </row>
    <row r="93" customFormat="false" ht="15" hidden="false" customHeight="true" outlineLevel="0" collapsed="false">
      <c r="A93" s="13" t="s">
        <v>487</v>
      </c>
      <c r="B93" s="48" t="n">
        <v>0.25</v>
      </c>
      <c r="C93" s="48" t="n">
        <v>0.5</v>
      </c>
      <c r="D93" s="48" t="n">
        <v>0.25</v>
      </c>
      <c r="E93" s="6" t="s">
        <v>488</v>
      </c>
    </row>
    <row r="94" customFormat="false" ht="15" hidden="false" customHeight="true" outlineLevel="0" collapsed="false">
      <c r="A94" s="10" t="s">
        <v>489</v>
      </c>
      <c r="B94" s="20" t="n">
        <f aca="false">SUM(B93:D93)</f>
        <v>1</v>
      </c>
    </row>
    <row r="96" customFormat="false" ht="15" hidden="false" customHeight="true" outlineLevel="0" collapsed="false">
      <c r="A96" s="8" t="s">
        <v>490</v>
      </c>
      <c r="B96" s="9" t="s">
        <v>59</v>
      </c>
      <c r="C96" s="9" t="s">
        <v>60</v>
      </c>
      <c r="D96" s="9" t="s">
        <v>61</v>
      </c>
      <c r="E96" s="9" t="s">
        <v>428</v>
      </c>
    </row>
    <row r="97" customFormat="false" ht="15" hidden="false" customHeight="true" outlineLevel="0" collapsed="false">
      <c r="A97" s="13" t="s">
        <v>491</v>
      </c>
      <c r="B97" s="48" t="n">
        <v>0.005</v>
      </c>
      <c r="C97" s="48" t="n">
        <v>0.02</v>
      </c>
      <c r="D97" s="48" t="n">
        <v>0.04</v>
      </c>
      <c r="E97" s="6" t="s">
        <v>492</v>
      </c>
      <c r="G97" s="16" t="n">
        <f aca="false">$C97</f>
        <v>0.02</v>
      </c>
      <c r="H97" s="16" t="n">
        <f aca="false">$C97</f>
        <v>0.02</v>
      </c>
      <c r="I97" s="16" t="n">
        <f aca="false">$C97</f>
        <v>0.02</v>
      </c>
      <c r="J97" s="16" t="n">
        <f aca="false">$C97</f>
        <v>0.02</v>
      </c>
      <c r="K97" s="16" t="n">
        <f aca="false">$C97</f>
        <v>0.02</v>
      </c>
      <c r="L97" s="16" t="n">
        <f aca="false">$C97</f>
        <v>0.02</v>
      </c>
      <c r="M97" s="16" t="n">
        <f aca="false">$C97</f>
        <v>0.02</v>
      </c>
      <c r="N97" s="16" t="n">
        <f aca="false">$C97</f>
        <v>0.02</v>
      </c>
      <c r="O97" s="16" t="n">
        <f aca="false">$C97</f>
        <v>0.02</v>
      </c>
      <c r="P97" s="16" t="n">
        <f aca="false">$C97</f>
        <v>0.02</v>
      </c>
    </row>
    <row r="98" customFormat="false" ht="15" hidden="false" customHeight="true" outlineLevel="0" collapsed="false">
      <c r="A98" s="13" t="s">
        <v>493</v>
      </c>
      <c r="B98" s="48" t="n">
        <v>0.015</v>
      </c>
      <c r="C98" s="48" t="n">
        <v>0.05</v>
      </c>
      <c r="D98" s="48" t="n">
        <v>0.1</v>
      </c>
      <c r="G98" s="16" t="n">
        <f aca="false">$C98</f>
        <v>0.05</v>
      </c>
      <c r="H98" s="16" t="n">
        <f aca="false">$C98</f>
        <v>0.05</v>
      </c>
      <c r="I98" s="16" t="n">
        <f aca="false">$C98</f>
        <v>0.05</v>
      </c>
      <c r="J98" s="16" t="n">
        <f aca="false">$C98</f>
        <v>0.05</v>
      </c>
      <c r="K98" s="16" t="n">
        <f aca="false">$C98</f>
        <v>0.05</v>
      </c>
      <c r="L98" s="16" t="n">
        <f aca="false">$C98</f>
        <v>0.05</v>
      </c>
      <c r="M98" s="16" t="n">
        <f aca="false">$C98</f>
        <v>0.05</v>
      </c>
      <c r="N98" s="16" t="n">
        <f aca="false">$C98</f>
        <v>0.05</v>
      </c>
      <c r="O98" s="16" t="n">
        <f aca="false">$C98</f>
        <v>0.05</v>
      </c>
      <c r="P98" s="16" t="n">
        <f aca="false">$C98</f>
        <v>0.05</v>
      </c>
    </row>
    <row r="99" customFormat="false" ht="15" hidden="false" customHeight="true" outlineLevel="0" collapsed="false">
      <c r="A99" s="13" t="s">
        <v>494</v>
      </c>
      <c r="B99" s="48" t="n">
        <v>0.03</v>
      </c>
      <c r="C99" s="48" t="n">
        <v>0.1</v>
      </c>
      <c r="D99" s="48" t="n">
        <v>0.18</v>
      </c>
      <c r="G99" s="16" t="n">
        <f aca="false">$C99</f>
        <v>0.1</v>
      </c>
      <c r="H99" s="16" t="n">
        <f aca="false">$C99</f>
        <v>0.1</v>
      </c>
      <c r="I99" s="16" t="n">
        <f aca="false">$C99</f>
        <v>0.1</v>
      </c>
      <c r="J99" s="16" t="n">
        <f aca="false">$C99</f>
        <v>0.1</v>
      </c>
      <c r="K99" s="16" t="n">
        <f aca="false">$C99</f>
        <v>0.1</v>
      </c>
      <c r="L99" s="16" t="n">
        <f aca="false">$C99</f>
        <v>0.1</v>
      </c>
      <c r="M99" s="16" t="n">
        <f aca="false">$C99</f>
        <v>0.1</v>
      </c>
      <c r="N99" s="16" t="n">
        <f aca="false">$C99</f>
        <v>0.1</v>
      </c>
      <c r="O99" s="16" t="n">
        <f aca="false">$C99</f>
        <v>0.1</v>
      </c>
      <c r="P99" s="16" t="n">
        <f aca="false">$C99</f>
        <v>0.1</v>
      </c>
    </row>
    <row r="100" customFormat="false" ht="15" hidden="false" customHeight="true" outlineLevel="0" collapsed="false">
      <c r="A100" s="13" t="s">
        <v>495</v>
      </c>
      <c r="B100" s="48" t="n">
        <v>0.05</v>
      </c>
      <c r="C100" s="48" t="n">
        <v>0.15</v>
      </c>
      <c r="D100" s="48" t="n">
        <v>0.25</v>
      </c>
      <c r="G100" s="16" t="n">
        <f aca="false">$C100</f>
        <v>0.15</v>
      </c>
      <c r="H100" s="16" t="n">
        <f aca="false">$C100</f>
        <v>0.15</v>
      </c>
      <c r="I100" s="16" t="n">
        <f aca="false">$C100</f>
        <v>0.15</v>
      </c>
      <c r="J100" s="16" t="n">
        <f aca="false">$C100</f>
        <v>0.15</v>
      </c>
      <c r="K100" s="16" t="n">
        <f aca="false">$C100</f>
        <v>0.15</v>
      </c>
      <c r="L100" s="16" t="n">
        <f aca="false">$C100</f>
        <v>0.15</v>
      </c>
      <c r="M100" s="16" t="n">
        <f aca="false">$C100</f>
        <v>0.15</v>
      </c>
      <c r="N100" s="16" t="n">
        <f aca="false">$C100</f>
        <v>0.15</v>
      </c>
      <c r="O100" s="16" t="n">
        <f aca="false">$C100</f>
        <v>0.15</v>
      </c>
      <c r="P100" s="16" t="n">
        <f aca="false">$C100</f>
        <v>0.15</v>
      </c>
    </row>
    <row r="101" customFormat="false" ht="15" hidden="false" customHeight="true" outlineLevel="0" collapsed="false">
      <c r="A101" s="13" t="s">
        <v>496</v>
      </c>
      <c r="B101" s="49" t="n">
        <v>4</v>
      </c>
      <c r="C101" s="49" t="n">
        <v>8</v>
      </c>
      <c r="D101" s="49" t="n">
        <v>12</v>
      </c>
      <c r="E101" s="6" t="s">
        <v>497</v>
      </c>
      <c r="G101" s="28" t="n">
        <f aca="false">$C101</f>
        <v>8</v>
      </c>
      <c r="H101" s="28" t="n">
        <f aca="false">$C101</f>
        <v>8</v>
      </c>
      <c r="I101" s="28" t="n">
        <f aca="false">$C101</f>
        <v>8</v>
      </c>
      <c r="J101" s="28" t="n">
        <f aca="false">$C101</f>
        <v>8</v>
      </c>
      <c r="K101" s="28" t="n">
        <f aca="false">$C101</f>
        <v>8</v>
      </c>
      <c r="L101" s="28" t="n">
        <f aca="false">$C101</f>
        <v>8</v>
      </c>
      <c r="M101" s="28" t="n">
        <f aca="false">$C101</f>
        <v>8</v>
      </c>
      <c r="N101" s="28" t="n">
        <f aca="false">$C101</f>
        <v>8</v>
      </c>
      <c r="O101" s="28" t="n">
        <f aca="false">$C101</f>
        <v>8</v>
      </c>
      <c r="P101" s="28" t="n">
        <f aca="false">$C101</f>
        <v>8</v>
      </c>
    </row>
    <row r="102" customFormat="false" ht="15" hidden="false" customHeight="true" outlineLevel="0" collapsed="false">
      <c r="A102" s="13" t="s">
        <v>498</v>
      </c>
      <c r="B102" s="48" t="n">
        <v>0.1</v>
      </c>
      <c r="C102" s="48" t="n">
        <v>0.15</v>
      </c>
      <c r="D102" s="48" t="n">
        <v>0.2</v>
      </c>
      <c r="E102" s="6" t="s">
        <v>499</v>
      </c>
      <c r="G102" s="16" t="n">
        <f aca="false">$C102</f>
        <v>0.15</v>
      </c>
      <c r="H102" s="16" t="n">
        <f aca="false">$C102</f>
        <v>0.15</v>
      </c>
      <c r="I102" s="16" t="n">
        <f aca="false">$C102</f>
        <v>0.15</v>
      </c>
      <c r="J102" s="16" t="n">
        <f aca="false">$C102</f>
        <v>0.15</v>
      </c>
      <c r="K102" s="16" t="n">
        <f aca="false">$C102</f>
        <v>0.15</v>
      </c>
      <c r="L102" s="16" t="n">
        <f aca="false">$C102</f>
        <v>0.15</v>
      </c>
      <c r="M102" s="16" t="n">
        <f aca="false">$C102</f>
        <v>0.15</v>
      </c>
      <c r="N102" s="16" t="n">
        <f aca="false">$C102</f>
        <v>0.15</v>
      </c>
      <c r="O102" s="16" t="n">
        <f aca="false">$C102</f>
        <v>0.15</v>
      </c>
      <c r="P102" s="16" t="n">
        <f aca="false">$C102</f>
        <v>0.15</v>
      </c>
    </row>
    <row r="103" customFormat="false" ht="15" hidden="false" customHeight="true" outlineLevel="0" collapsed="false">
      <c r="A103" s="13" t="s">
        <v>500</v>
      </c>
      <c r="B103" s="48" t="n">
        <v>0.5</v>
      </c>
      <c r="C103" s="48" t="n">
        <v>0.3</v>
      </c>
      <c r="D103" s="48" t="n">
        <v>0.2</v>
      </c>
      <c r="E103" s="6" t="s">
        <v>501</v>
      </c>
      <c r="G103" s="16" t="n">
        <f aca="false">$C103</f>
        <v>0.3</v>
      </c>
      <c r="H103" s="16" t="n">
        <f aca="false">$C103</f>
        <v>0.3</v>
      </c>
      <c r="I103" s="16" t="n">
        <f aca="false">$C103</f>
        <v>0.3</v>
      </c>
      <c r="J103" s="16" t="n">
        <f aca="false">$C103</f>
        <v>0.3</v>
      </c>
      <c r="K103" s="16" t="n">
        <f aca="false">$C103</f>
        <v>0.3</v>
      </c>
      <c r="L103" s="16" t="n">
        <f aca="false">$C103</f>
        <v>0.3</v>
      </c>
      <c r="M103" s="16" t="n">
        <f aca="false">$C103</f>
        <v>0.3</v>
      </c>
      <c r="N103" s="16" t="n">
        <f aca="false">$C103</f>
        <v>0.3</v>
      </c>
      <c r="O103" s="16" t="n">
        <f aca="false">$C103</f>
        <v>0.3</v>
      </c>
      <c r="P103" s="16" t="n">
        <f aca="false">$C103</f>
        <v>0.3</v>
      </c>
    </row>
    <row r="104" customFormat="false" ht="15" hidden="false" customHeight="true" outlineLevel="0" collapsed="false">
      <c r="A104" s="13" t="s">
        <v>502</v>
      </c>
      <c r="B104" s="48" t="n">
        <v>0.3</v>
      </c>
      <c r="C104" s="48" t="n">
        <v>0.2</v>
      </c>
      <c r="D104" s="48" t="n">
        <v>0.15</v>
      </c>
      <c r="E104" s="6" t="s">
        <v>503</v>
      </c>
      <c r="G104" s="16" t="n">
        <f aca="false">$C104</f>
        <v>0.2</v>
      </c>
      <c r="H104" s="16" t="n">
        <f aca="false">$C104</f>
        <v>0.2</v>
      </c>
      <c r="I104" s="16" t="n">
        <f aca="false">$C104</f>
        <v>0.2</v>
      </c>
      <c r="J104" s="16" t="n">
        <f aca="false">$C104</f>
        <v>0.2</v>
      </c>
      <c r="K104" s="16" t="n">
        <f aca="false">$C104</f>
        <v>0.2</v>
      </c>
      <c r="L104" s="16" t="n">
        <f aca="false">$C104</f>
        <v>0.2</v>
      </c>
      <c r="M104" s="16" t="n">
        <f aca="false">$C104</f>
        <v>0.2</v>
      </c>
      <c r="N104" s="16" t="n">
        <f aca="false">$C104</f>
        <v>0.2</v>
      </c>
      <c r="O104" s="16" t="n">
        <f aca="false">$C104</f>
        <v>0.2</v>
      </c>
      <c r="P104" s="16" t="n">
        <f aca="false">$C104</f>
        <v>0.2</v>
      </c>
    </row>
    <row r="105" customFormat="false" ht="15" hidden="false" customHeight="true" outlineLevel="0" collapsed="false">
      <c r="A105" s="13" t="s">
        <v>504</v>
      </c>
      <c r="B105" s="48" t="n">
        <v>0.25</v>
      </c>
      <c r="C105" s="48" t="n">
        <v>0.15</v>
      </c>
      <c r="D105" s="48" t="n">
        <v>0.1</v>
      </c>
      <c r="E105" s="6" t="s">
        <v>505</v>
      </c>
      <c r="G105" s="16" t="n">
        <f aca="false">$C105</f>
        <v>0.15</v>
      </c>
      <c r="H105" s="16" t="n">
        <f aca="false">$C105</f>
        <v>0.15</v>
      </c>
      <c r="I105" s="16" t="n">
        <f aca="false">$C105</f>
        <v>0.15</v>
      </c>
      <c r="J105" s="16" t="n">
        <f aca="false">$C105</f>
        <v>0.15</v>
      </c>
      <c r="K105" s="16" t="n">
        <f aca="false">$C105</f>
        <v>0.15</v>
      </c>
      <c r="L105" s="16" t="n">
        <f aca="false">$C105</f>
        <v>0.15</v>
      </c>
      <c r="M105" s="16" t="n">
        <f aca="false">$C105</f>
        <v>0.15</v>
      </c>
      <c r="N105" s="16" t="n">
        <f aca="false">$C105</f>
        <v>0.15</v>
      </c>
      <c r="O105" s="16" t="n">
        <f aca="false">$C105</f>
        <v>0.15</v>
      </c>
      <c r="P105" s="16" t="n">
        <f aca="false">$C105</f>
        <v>0.15</v>
      </c>
    </row>
    <row r="106" customFormat="false" ht="15" hidden="false" customHeight="true" outlineLevel="0" collapsed="false">
      <c r="A106" s="13" t="s">
        <v>506</v>
      </c>
      <c r="B106" s="48" t="n">
        <v>0.15</v>
      </c>
      <c r="C106" s="48" t="n">
        <v>0.1</v>
      </c>
      <c r="D106" s="48" t="n">
        <v>0.08</v>
      </c>
      <c r="E106" s="6" t="s">
        <v>507</v>
      </c>
      <c r="G106" s="16" t="n">
        <f aca="false">$C106</f>
        <v>0.1</v>
      </c>
      <c r="H106" s="16" t="n">
        <f aca="false">$C106</f>
        <v>0.1</v>
      </c>
      <c r="I106" s="16" t="n">
        <f aca="false">$C106</f>
        <v>0.1</v>
      </c>
      <c r="J106" s="16" t="n">
        <f aca="false">$C106</f>
        <v>0.1</v>
      </c>
      <c r="K106" s="16" t="n">
        <f aca="false">$C106</f>
        <v>0.1</v>
      </c>
      <c r="L106" s="16" t="n">
        <f aca="false">$C106</f>
        <v>0.1</v>
      </c>
      <c r="M106" s="16" t="n">
        <f aca="false">$C106</f>
        <v>0.1</v>
      </c>
      <c r="N106" s="16" t="n">
        <f aca="false">$C106</f>
        <v>0.1</v>
      </c>
      <c r="O106" s="16" t="n">
        <f aca="false">$C106</f>
        <v>0.1</v>
      </c>
      <c r="P106" s="16" t="n">
        <f aca="false">$C106</f>
        <v>0.1</v>
      </c>
    </row>
    <row r="108" customFormat="false" ht="15" hidden="false" customHeight="true" outlineLevel="0" collapsed="false">
      <c r="A108" s="8" t="s">
        <v>508</v>
      </c>
      <c r="B108" s="9" t="s">
        <v>509</v>
      </c>
      <c r="C108" s="9" t="s">
        <v>510</v>
      </c>
    </row>
    <row r="109" customFormat="false" ht="15" hidden="false" customHeight="true" outlineLevel="0" collapsed="false">
      <c r="A109" s="13" t="s">
        <v>511</v>
      </c>
      <c r="B109" s="50" t="n">
        <f aca="false">IF(ABS($B$94-1)&gt;0.0005,1,0)</f>
        <v>0</v>
      </c>
      <c r="C109" s="6" t="s">
        <v>512</v>
      </c>
    </row>
    <row r="110" customFormat="false" ht="15" hidden="false" customHeight="true" outlineLevel="0" collapsed="false">
      <c r="A110" s="13" t="s">
        <v>513</v>
      </c>
      <c r="B110" s="50" t="n">
        <f aca="false">SUMPRODUCT(($B$93:$D$93&lt;0)+($B$93:$D$93&gt;1))</f>
        <v>0</v>
      </c>
      <c r="C110" s="6"/>
    </row>
    <row r="111" customFormat="false" ht="15" hidden="false" customHeight="true" outlineLevel="0" collapsed="false">
      <c r="A111" s="13" t="s">
        <v>514</v>
      </c>
      <c r="B111" s="50" t="n">
        <f aca="false">SUMPRODUCT(($B$97:$D$100&lt;0)+($B$97:$D$100&gt;1))</f>
        <v>0</v>
      </c>
      <c r="C111" s="6" t="s">
        <v>515</v>
      </c>
    </row>
    <row r="112" customFormat="false" ht="15" hidden="false" customHeight="true" outlineLevel="0" collapsed="false">
      <c r="A112" s="13" t="s">
        <v>516</v>
      </c>
      <c r="B112" s="50" t="n">
        <f aca="false">SUMPRODUCT(($B$102:$D$102&lt;0)+($B$102:$D$102&gt;1)+($B$103:$D$103&lt;0)+($B$103:$D$103&gt;1))</f>
        <v>0</v>
      </c>
      <c r="C112" s="6"/>
    </row>
    <row r="113" customFormat="false" ht="15" hidden="false" customHeight="true" outlineLevel="0" collapsed="false">
      <c r="A113" s="13" t="s">
        <v>517</v>
      </c>
      <c r="B113" s="50" t="n">
        <f aca="false">SUMPRODUCT(--(($B$104:$D$104+$B$105:$D$105+$B$106:$D$106)&gt;=1))</f>
        <v>0</v>
      </c>
      <c r="C113" s="6" t="s">
        <v>518</v>
      </c>
    </row>
    <row r="114" customFormat="false" ht="15" hidden="false" customHeight="true" outlineLevel="0" collapsed="false">
      <c r="A114" s="13" t="s">
        <v>519</v>
      </c>
      <c r="B114" s="50" t="n">
        <f aca="false">SUMPRODUCT(($B$87:$D$87&lt;=0)+($B$88:$D$88&lt;=0))+SUMPRODUCT(($G$87:$P$87&lt;=0)+($G$88:$P$88&lt;=0))</f>
        <v>0</v>
      </c>
      <c r="C114" s="6" t="s">
        <v>520</v>
      </c>
    </row>
    <row r="115" customFormat="false" ht="15" hidden="false" customHeight="true" outlineLevel="0" collapsed="false">
      <c r="A115" s="13" t="s">
        <v>521</v>
      </c>
      <c r="B115" s="50" t="n">
        <f aca="false">IF($B$19&lt;=0,1,0)</f>
        <v>0</v>
      </c>
      <c r="C115" s="6"/>
    </row>
    <row r="116" customFormat="false" ht="15" hidden="false" customHeight="true" outlineLevel="0" collapsed="false">
      <c r="A116" s="13" t="s">
        <v>522</v>
      </c>
      <c r="B116" s="50" t="n">
        <f aca="false">IF(OR($B$21&lt;0,$B$21&gt;1),1,0)</f>
        <v>0</v>
      </c>
      <c r="C116" s="6"/>
    </row>
    <row r="117" customFormat="false" ht="15" hidden="false" customHeight="true" outlineLevel="0" collapsed="false">
      <c r="A117" s="13" t="s">
        <v>523</v>
      </c>
      <c r="B117" s="50" t="n">
        <f aca="false">IF(OR($B$30&lt;0,$B$30&gt;=1,$B$31&lt;0,$B$31&gt;=1),1,0)</f>
        <v>0</v>
      </c>
      <c r="C117" s="6"/>
    </row>
    <row r="118" customFormat="false" ht="15" hidden="false" customHeight="true" outlineLevel="0" collapsed="false">
      <c r="A118" s="13" t="s">
        <v>524</v>
      </c>
      <c r="B118" s="50" t="n">
        <f aca="false">IF(OR($B$43&lt;0,$B$43&gt;1,$B$47&lt;0,$B$47&gt;1,$B$46&lt;0,$B$46&gt;1,$B$45&lt;0,$B$45&gt;1),1,0)</f>
        <v>0</v>
      </c>
      <c r="C118" s="6"/>
    </row>
    <row r="119" customFormat="false" ht="15" hidden="false" customHeight="true" outlineLevel="0" collapsed="false">
      <c r="A119" s="13" t="s">
        <v>525</v>
      </c>
      <c r="B119" s="50" t="n">
        <f aca="false">SUMPRODUCT(($B$90:$D$90&lt;&gt;0)*($B$90:$D$90&lt;&gt;1)*($B$90:$D$90&lt;&gt;2))+SUMPRODUCT(($G$90:$P$90&lt;&gt;0)*($G$90:$P$90&lt;&gt;1)*($G$90:$P$90&lt;&gt;2))</f>
        <v>0</v>
      </c>
      <c r="C119" s="6" t="s">
        <v>520</v>
      </c>
    </row>
    <row r="120" customFormat="false" ht="15" hidden="false" customHeight="true" outlineLevel="0" collapsed="false">
      <c r="A120" s="13" t="s">
        <v>526</v>
      </c>
      <c r="B120" s="50" t="n">
        <f aca="false">IF(OR($B$35=1,$B$35=2,$B$35=3),0,1)</f>
        <v>0</v>
      </c>
      <c r="C120" s="6"/>
    </row>
    <row r="121" customFormat="false" ht="15" hidden="false" customHeight="true" outlineLevel="0" collapsed="false">
      <c r="A121" s="13" t="s">
        <v>527</v>
      </c>
      <c r="B121" s="50" t="n">
        <f aca="false">IF($B$18&lt;=0,1,0)</f>
        <v>0</v>
      </c>
      <c r="C121" s="6"/>
    </row>
    <row r="122" customFormat="false" ht="15" hidden="false" customHeight="true" outlineLevel="0" collapsed="false">
      <c r="A122" s="13" t="s">
        <v>528</v>
      </c>
      <c r="B122" s="50" t="n">
        <f aca="false">IF(OR($B$32&lt;1,INT($B$32)&lt;&gt;$B$32),1,0)</f>
        <v>0</v>
      </c>
      <c r="C122" s="6" t="s">
        <v>529</v>
      </c>
    </row>
    <row r="123" customFormat="false" ht="15" hidden="false" customHeight="true" outlineLevel="0" collapsed="false">
      <c r="A123" s="13" t="s">
        <v>530</v>
      </c>
      <c r="B123" s="50" t="n">
        <f aca="false">SUMPRODUCT((Inputs!$B$66:$D$66&lt;0)+(Inputs!$B$71:$D$86&lt;0))+SUMPRODUCT((Inputs!$G$66:$P$66&lt;0)+(Inputs!$G$71:$P$86&lt;0))</f>
        <v>0</v>
      </c>
      <c r="C123" s="6" t="s">
        <v>531</v>
      </c>
    </row>
    <row r="124" customFormat="false" ht="15" hidden="false" customHeight="true" outlineLevel="0" collapsed="false">
      <c r="A124" s="13" t="s">
        <v>532</v>
      </c>
      <c r="B124" s="50" t="n">
        <f aca="false">SUMPRODUCT(--(Inputs!$B$75:$D$78&gt;Inputs!$B$71:$D$74))+SUMPRODUCT(--(Inputs!$G$75:$P$78&gt;Inputs!$G$71:$P$74))</f>
        <v>0</v>
      </c>
      <c r="C124" s="6" t="s">
        <v>533</v>
      </c>
    </row>
    <row r="125" customFormat="false" ht="15" hidden="false" customHeight="true" outlineLevel="0" collapsed="false">
      <c r="A125" s="13" t="s">
        <v>534</v>
      </c>
      <c r="B125" s="50" t="n">
        <f aca="false">SUMPRODUCT((Inputs!$B$62:$D$65&lt;=-1)+(Inputs!$B$67:$D$70&lt;=-1))+SUMPRODUCT((Inputs!$G$62:$P$65&lt;=-1)+(Inputs!$G$67:$P$70&lt;=-1))</f>
        <v>0</v>
      </c>
      <c r="C125" s="6" t="s">
        <v>535</v>
      </c>
    </row>
    <row r="126" customFormat="false" ht="15" hidden="false" customHeight="true" outlineLevel="0" collapsed="false">
      <c r="A126" s="13" t="s">
        <v>536</v>
      </c>
      <c r="B126" s="50" t="n">
        <f aca="false">SUMPRODUCT((Inputs!$B$60:$D$60&lt;0)+(Inputs!$B$92:$D$92&lt;0)+(Inputs!$B$61:$D$61&lt;0)+(Inputs!$B$61:$D$61&gt;1))+SUMPRODUCT((Inputs!$G$60:$P$60&lt;0)+(Inputs!$G$92:$P$92&lt;0))</f>
        <v>0</v>
      </c>
      <c r="C126" s="6"/>
    </row>
    <row r="127" customFormat="false" ht="15" hidden="false" customHeight="true" outlineLevel="0" collapsed="false">
      <c r="A127" s="13" t="s">
        <v>537</v>
      </c>
      <c r="B127" s="50" t="n">
        <f aca="false">SUMPRODUCT(($B$104:$D$104&lt;0)+($B$105:$D$105&lt;0)+($B$106:$D$106&lt;0)+($B$101:$D$101&lt;0))</f>
        <v>0</v>
      </c>
      <c r="C127" s="6"/>
    </row>
    <row r="128" customFormat="false" ht="15" hidden="false" customHeight="true" outlineLevel="0" collapsed="false">
      <c r="A128" s="13" t="s">
        <v>538</v>
      </c>
      <c r="B128" s="50" t="n">
        <f aca="false">SUMPRODUCT(--($B$55:$F$55&lt;0))+IF($B$36&lt;0,1,0)</f>
        <v>0</v>
      </c>
      <c r="C128" s="6"/>
    </row>
    <row r="129" customFormat="false" ht="15" hidden="false" customHeight="true" outlineLevel="0" collapsed="false">
      <c r="A129" s="13" t="s">
        <v>539</v>
      </c>
      <c r="B129" s="50" t="n">
        <f aca="false">IF(OR($B$39&lt;0,$B$39&gt;1,$B$40&lt;1,$B$34&lt;0,$B$29&lt;0),1,0)</f>
        <v>0</v>
      </c>
      <c r="C129" s="6"/>
    </row>
    <row r="130" customFormat="false" ht="15" hidden="false" customHeight="true" outlineLevel="0" collapsed="false">
      <c r="A130" s="13" t="s">
        <v>540</v>
      </c>
      <c r="B130" s="50" t="n">
        <f aca="false">IF(OR($B$11&lt;0,$B$13&lt;0,$B$14&lt;0,$B$16&lt;0,$B$15&lt;0,$B$17&lt;0,$B$10&lt;0,$B$10&gt;1,$B$12&lt;0,$B$12&gt;1),1,0)</f>
        <v>0</v>
      </c>
      <c r="C130" s="6"/>
    </row>
    <row r="131" customFormat="false" ht="15" hidden="false" customHeight="true" outlineLevel="0" collapsed="false">
      <c r="A131" s="10" t="s">
        <v>541</v>
      </c>
      <c r="B131" s="51" t="n">
        <f aca="false">SUM(B109:B130)</f>
        <v>0</v>
      </c>
      <c r="C131" s="7" t="str">
        <f aca="false">IF(B131=0,"All input checks passed","CHECK INPUTS: results may be invalid")</f>
        <v>All input checks passed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542</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Historicals!F35+(Inputs!$B$5+Inputs!$B$60)</f>
        <v>51728</v>
      </c>
      <c r="D5" s="34" t="n">
        <f aca="false">C5*(1+Inputs!$B$62)</f>
        <v>82764.8</v>
      </c>
      <c r="E5" s="34" t="n">
        <f aca="false">D5*(1+Inputs!$B$63)</f>
        <v>107594.24</v>
      </c>
      <c r="F5" s="34" t="n">
        <f aca="false">E5*(1+Inputs!$B$64)</f>
        <v>129113.088</v>
      </c>
      <c r="G5" s="34" t="n">
        <f aca="false">F5*(1+Inputs!$B$65)</f>
        <v>148480.0512</v>
      </c>
    </row>
    <row r="6" customFormat="false" ht="15" hidden="false" customHeight="true" outlineLevel="0" collapsed="false">
      <c r="A6" s="13" t="s">
        <v>551</v>
      </c>
      <c r="C6" s="16" t="n">
        <f aca="false">IFERROR(C5/B5-1,0)</f>
        <v>10.2820065430752</v>
      </c>
      <c r="D6" s="16" t="n">
        <f aca="false">IFERROR(D5/C5-1,0)</f>
        <v>0.6</v>
      </c>
      <c r="E6" s="16" t="n">
        <f aca="false">IFERROR(E5/D5-1,0)</f>
        <v>0.3</v>
      </c>
      <c r="F6" s="16" t="n">
        <f aca="false">IFERROR(F5/E5-1,0)</f>
        <v>0.2</v>
      </c>
      <c r="G6" s="16" t="n">
        <f aca="false">IFERROR(G5/F5-1,0)</f>
        <v>0.15</v>
      </c>
    </row>
    <row r="7" customFormat="false" ht="15" hidden="false" customHeight="true" outlineLevel="0" collapsed="false">
      <c r="A7" s="13" t="s">
        <v>552</v>
      </c>
      <c r="B7" s="41" t="n">
        <f aca="false">Historicals!D51</f>
        <v>789</v>
      </c>
      <c r="C7" s="34" t="n">
        <f aca="false">Historicals!F51+(Inputs!$B$5+Inputs!$B$60)*Historicals!F51/Historicals!F35</f>
        <v>10233.7968807565</v>
      </c>
      <c r="D7" s="34" t="n">
        <f aca="false">D5*Inputs!$B$61</f>
        <v>18208.256</v>
      </c>
      <c r="E7" s="34" t="n">
        <f aca="false">E5*Inputs!$B$61</f>
        <v>23670.7328</v>
      </c>
      <c r="F7" s="34" t="n">
        <f aca="false">F5*Inputs!$B$61</f>
        <v>28404.87936</v>
      </c>
      <c r="G7" s="34" t="n">
        <f aca="false">G5*Inputs!$B$61</f>
        <v>32665.611264</v>
      </c>
    </row>
    <row r="8" customFormat="false" ht="15" hidden="false" customHeight="true" outlineLevel="0" collapsed="false">
      <c r="A8" s="13" t="s">
        <v>553</v>
      </c>
      <c r="B8" s="34" t="n">
        <f aca="false">B5-B7</f>
        <v>3796</v>
      </c>
      <c r="C8" s="34" t="n">
        <f aca="false">C5-C7</f>
        <v>41494.2031192435</v>
      </c>
      <c r="D8" s="34" t="n">
        <f aca="false">D5-D7</f>
        <v>64556.544</v>
      </c>
      <c r="E8" s="34" t="n">
        <f aca="false">E5-E7</f>
        <v>83923.5072</v>
      </c>
      <c r="F8" s="34" t="n">
        <f aca="false">F5-F7</f>
        <v>100708.20864</v>
      </c>
      <c r="G8" s="34" t="n">
        <f aca="false">G5-G7</f>
        <v>115814.439936</v>
      </c>
    </row>
    <row r="10" customFormat="false" ht="15" hidden="false" customHeight="true" outlineLevel="0" collapsed="false">
      <c r="A10" s="13" t="s">
        <v>250</v>
      </c>
      <c r="B10" s="41" t="n">
        <f aca="false">Historicals!D36</f>
        <v>7326</v>
      </c>
      <c r="C10" s="34" t="n">
        <f aca="false">Historicals!F36+(Inputs!$B$5+Inputs!$B$60)*Inputs!$B$66</f>
        <v>26666</v>
      </c>
      <c r="D10" s="34" t="n">
        <f aca="false">C10*(1+Inputs!$B$67)</f>
        <v>42665.6</v>
      </c>
      <c r="E10" s="34" t="n">
        <f aca="false">D10*(1+Inputs!$B$68)</f>
        <v>55465.28</v>
      </c>
      <c r="F10" s="34" t="n">
        <f aca="false">E10*(1+Inputs!$B$69)</f>
        <v>66558.336</v>
      </c>
      <c r="G10" s="34" t="n">
        <f aca="false">F10*(1+Inputs!$B$70)</f>
        <v>76542.0864</v>
      </c>
    </row>
    <row r="11" customFormat="false" ht="15" hidden="false" customHeight="true" outlineLevel="0" collapsed="false">
      <c r="A11" s="13" t="s">
        <v>251</v>
      </c>
      <c r="B11" s="41" t="n">
        <f aca="false">Historicals!D37</f>
        <v>1839</v>
      </c>
      <c r="C11" s="34" t="n">
        <f aca="false">Historicals!F37+(Inputs!$B$5+Inputs!$B$60)*Historicals!G24</f>
        <v>8847.87139766335</v>
      </c>
      <c r="D11" s="34" t="n">
        <f aca="false">D5*Inputs!$B$71</f>
        <v>13242.368</v>
      </c>
      <c r="E11" s="34" t="n">
        <f aca="false">E5*Inputs!$B$72</f>
        <v>16139.136</v>
      </c>
      <c r="F11" s="34" t="n">
        <f aca="false">F5*Inputs!$B$73</f>
        <v>18075.83232</v>
      </c>
      <c r="G11" s="34" t="n">
        <f aca="false">G5*Inputs!$B$74</f>
        <v>19302.406656</v>
      </c>
    </row>
    <row r="12" customFormat="false" ht="15" hidden="false" customHeight="true" outlineLevel="0" collapsed="false">
      <c r="A12" s="13" t="s">
        <v>554</v>
      </c>
      <c r="B12" s="41" t="n">
        <f aca="false">Historicals!D49</f>
        <v>1158</v>
      </c>
      <c r="C12" s="34" t="n">
        <f aca="false">Historicals!F49+(Inputs!$B$5+Inputs!$B$60)*Historicals!G29</f>
        <v>6052.79420164431</v>
      </c>
      <c r="D12" s="34" t="n">
        <f aca="false">D5*Inputs!$B$75</f>
        <v>8276.48</v>
      </c>
      <c r="E12" s="34" t="n">
        <f aca="false">E5*Inputs!$B$76</f>
        <v>9683.4816</v>
      </c>
      <c r="F12" s="34" t="n">
        <f aca="false">F5*Inputs!$B$77</f>
        <v>10329.04704</v>
      </c>
      <c r="G12" s="34" t="n">
        <f aca="false">G5*Inputs!$B$78</f>
        <v>10393.603584</v>
      </c>
    </row>
    <row r="13" customFormat="false" ht="15" hidden="false" customHeight="true" outlineLevel="0" collapsed="false">
      <c r="A13" s="13" t="s">
        <v>555</v>
      </c>
      <c r="B13" s="41" t="n">
        <f aca="false">Historicals!D39</f>
        <v>568</v>
      </c>
      <c r="C13" s="34" t="n">
        <f aca="false">Historicals!F39+(Inputs!$B$5+Inputs!$B$60)*Historicals!G25</f>
        <v>9716.56512332324</v>
      </c>
      <c r="D13" s="34" t="n">
        <f aca="false">D5*Inputs!$B$79</f>
        <v>14897.664</v>
      </c>
      <c r="E13" s="34" t="n">
        <f aca="false">E5*Inputs!$B$80</f>
        <v>18291.0208</v>
      </c>
      <c r="F13" s="34" t="n">
        <f aca="false">F5*Inputs!$B$81</f>
        <v>20658.09408</v>
      </c>
      <c r="G13" s="34" t="n">
        <f aca="false">G5*Inputs!$B$82</f>
        <v>23756.808192</v>
      </c>
    </row>
    <row r="14" customFormat="false" ht="15" hidden="false" customHeight="true" outlineLevel="0" collapsed="false">
      <c r="A14" s="13" t="s">
        <v>556</v>
      </c>
      <c r="B14" s="41" t="n">
        <f aca="false">Historicals!D40</f>
        <v>1412</v>
      </c>
      <c r="C14" s="34" t="n">
        <f aca="false">Historicals!F40+(Inputs!$B$5+Inputs!$B$60)*Historicals!G26</f>
        <v>4876.32816962354</v>
      </c>
      <c r="D14" s="34" t="n">
        <f aca="false">D5*Inputs!$B$83</f>
        <v>7448.832</v>
      </c>
      <c r="E14" s="34" t="n">
        <f aca="false">E5*Inputs!$B$84</f>
        <v>8607.5392</v>
      </c>
      <c r="F14" s="34" t="n">
        <f aca="false">F5*Inputs!$B$85</f>
        <v>9037.91616</v>
      </c>
      <c r="G14" s="34" t="n">
        <f aca="false">G5*Inputs!$B$86</f>
        <v>10393.603584</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52106.7646906101</v>
      </c>
      <c r="D16" s="36" t="n">
        <f aca="false">D10+D11+D13+D14+D15</f>
        <v>78254.464</v>
      </c>
      <c r="E16" s="36" t="n">
        <f aca="false">E10+E11+E13+E14+E15</f>
        <v>98502.976</v>
      </c>
      <c r="F16" s="36" t="n">
        <f aca="false">F10+F11+F13+F14+F15</f>
        <v>114330.17856</v>
      </c>
      <c r="G16" s="36" t="n">
        <f aca="false">G10+G11+G13+G14+G15</f>
        <v>129994.904832</v>
      </c>
    </row>
    <row r="17" customFormat="false" ht="15" hidden="false" customHeight="true" outlineLevel="0" collapsed="false">
      <c r="A17" s="10" t="s">
        <v>558</v>
      </c>
      <c r="B17" s="35" t="n">
        <f aca="false">B5-B16</f>
        <v>-8060</v>
      </c>
      <c r="C17" s="35" t="n">
        <f aca="false">C5-C16</f>
        <v>-378.764690610115</v>
      </c>
      <c r="D17" s="35" t="n">
        <f aca="false">D5-D16</f>
        <v>4510.336</v>
      </c>
      <c r="E17" s="35" t="n">
        <f aca="false">E5-E16</f>
        <v>9091.264</v>
      </c>
      <c r="F17" s="35" t="n">
        <f aca="false">F5-F16</f>
        <v>14782.90944</v>
      </c>
      <c r="G17" s="35" t="n">
        <f aca="false">G5-G16</f>
        <v>18485.146368</v>
      </c>
    </row>
    <row r="18" customFormat="false" ht="15" hidden="false" customHeight="true" outlineLevel="0" collapsed="false">
      <c r="A18" s="13" t="s">
        <v>559</v>
      </c>
      <c r="B18" s="16" t="n">
        <f aca="false">IFERROR(B17/B5,0)</f>
        <v>-1.75790621592148</v>
      </c>
      <c r="C18" s="16" t="n">
        <f aca="false">IFERROR(C17/C5,0)</f>
        <v>-0.00732223729141112</v>
      </c>
      <c r="D18" s="16" t="n">
        <f aca="false">IFERROR(D17/D5,0)</f>
        <v>0.0544958243117847</v>
      </c>
      <c r="E18" s="16" t="n">
        <f aca="false">IFERROR(E17/E5,0)</f>
        <v>0.0844958243117847</v>
      </c>
      <c r="F18" s="16" t="n">
        <f aca="false">IFERROR(F17/F5,0)</f>
        <v>0.114495824311785</v>
      </c>
      <c r="G18" s="16" t="n">
        <f aca="false">IFERROR(G17/G5,0)</f>
        <v>0.124495824311785</v>
      </c>
    </row>
    <row r="19" customFormat="false" ht="15" hidden="false" customHeight="true" outlineLevel="0" collapsed="false">
      <c r="A19" s="13" t="s">
        <v>560</v>
      </c>
      <c r="B19" s="16" t="n">
        <f aca="false">IFERROR(B10/B5,0)</f>
        <v>1.59781897491821</v>
      </c>
      <c r="C19" s="16" t="n">
        <f aca="false">IFERROR(C10/C5,0)</f>
        <v>0.515504175688215</v>
      </c>
      <c r="D19" s="16" t="n">
        <f aca="false">IFERROR(D10/D5,0)</f>
        <v>0.515504175688215</v>
      </c>
      <c r="E19" s="16" t="n">
        <f aca="false">IFERROR(E10/E5,0)</f>
        <v>0.515504175688215</v>
      </c>
      <c r="F19" s="16" t="n">
        <f aca="false">IFERROR(F10/F5,0)</f>
        <v>0.515504175688215</v>
      </c>
      <c r="G19" s="16" t="n">
        <f aca="false">IFERROR(G10/G5,0)</f>
        <v>0.515504175688215</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1/(1+Inputs!$B$19+Inputs!$B$89)^1</f>
        <v>0.892857142857143</v>
      </c>
      <c r="E21" s="52" t="n">
        <f aca="false">1/(1+Inputs!$B$19+Inputs!$B$89)^2</f>
        <v>0.79719387755102</v>
      </c>
      <c r="F21" s="52" t="n">
        <f aca="false">1/(1+Inputs!$B$19+Inputs!$B$89)^3</f>
        <v>0.711780247813411</v>
      </c>
      <c r="G21" s="52" t="n">
        <f aca="false">1/(1+Inputs!$B$19+Inputs!$B$89)^4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Inputs!$B$97</f>
        <v>0.005</v>
      </c>
      <c r="E24" s="19" t="n">
        <f aca="false">Inputs!$B$98</f>
        <v>0.015</v>
      </c>
      <c r="F24" s="19" t="n">
        <f aca="false">Inputs!$B$99</f>
        <v>0.03</v>
      </c>
      <c r="G24" s="19" t="n">
        <f aca="false">Inputs!$B$100</f>
        <v>0.05</v>
      </c>
    </row>
    <row r="25" customFormat="false" ht="15" hidden="false" customHeight="true" outlineLevel="0" collapsed="false">
      <c r="A25" s="13" t="s">
        <v>565</v>
      </c>
      <c r="C25" s="34" t="n">
        <f aca="false">C5*C24</f>
        <v>0</v>
      </c>
      <c r="D25" s="34" t="n">
        <f aca="false">D5*D24</f>
        <v>413.824</v>
      </c>
      <c r="E25" s="34" t="n">
        <f aca="false">E5*E24</f>
        <v>1613.9136</v>
      </c>
      <c r="F25" s="34" t="n">
        <f aca="false">F5*F24</f>
        <v>3873.39264</v>
      </c>
      <c r="G25" s="34" t="n">
        <f aca="false">G5*G24</f>
        <v>7424.00256</v>
      </c>
    </row>
    <row r="26" customFormat="false" ht="15" hidden="false" customHeight="true" outlineLevel="0" collapsed="false">
      <c r="A26" s="13" t="s">
        <v>566</v>
      </c>
      <c r="C26" s="53" t="n">
        <f aca="false">Inputs!$B$101</f>
        <v>4</v>
      </c>
      <c r="D26" s="53" t="n">
        <f aca="false">Inputs!$B$101</f>
        <v>4</v>
      </c>
      <c r="E26" s="53" t="n">
        <f aca="false">Inputs!$B$101</f>
        <v>4</v>
      </c>
      <c r="F26" s="53" t="n">
        <f aca="false">Inputs!$B$101</f>
        <v>4</v>
      </c>
      <c r="G26" s="53" t="n">
        <f aca="false">Inputs!$B$101</f>
        <v>4</v>
      </c>
    </row>
    <row r="27" customFormat="false" ht="15" hidden="false" customHeight="true" outlineLevel="0" collapsed="false">
      <c r="A27" s="13" t="s">
        <v>567</v>
      </c>
      <c r="C27" s="34" t="n">
        <f aca="false">C25*C26</f>
        <v>0</v>
      </c>
      <c r="D27" s="34" t="n">
        <f aca="false">D25*D26</f>
        <v>1655.296</v>
      </c>
      <c r="E27" s="34" t="n">
        <f aca="false">E25*E26</f>
        <v>6455.6544</v>
      </c>
      <c r="F27" s="34" t="n">
        <f aca="false">F25*F26</f>
        <v>15493.57056</v>
      </c>
      <c r="G27" s="34" t="n">
        <f aca="false">G25*G26</f>
        <v>29696.01024</v>
      </c>
    </row>
    <row r="28" customFormat="false" ht="15" hidden="false" customHeight="true" outlineLevel="0" collapsed="false">
      <c r="A28" s="13" t="s">
        <v>568</v>
      </c>
      <c r="C28" s="19" t="n">
        <f aca="false">Inputs!$B$102</f>
        <v>0.1</v>
      </c>
      <c r="D28" s="19" t="n">
        <f aca="false">Inputs!$B$102</f>
        <v>0.1</v>
      </c>
      <c r="E28" s="19" t="n">
        <f aca="false">Inputs!$B$102</f>
        <v>0.1</v>
      </c>
      <c r="F28" s="19" t="n">
        <f aca="false">Inputs!$B$102</f>
        <v>0.1</v>
      </c>
      <c r="G28" s="19" t="n">
        <f aca="false">Inputs!$B$102</f>
        <v>0.1</v>
      </c>
    </row>
    <row r="29" customFormat="false" ht="15" hidden="false" customHeight="true" outlineLevel="0" collapsed="false">
      <c r="A29" s="10" t="s">
        <v>569</v>
      </c>
      <c r="C29" s="36" t="n">
        <f aca="false">C27*C28</f>
        <v>0</v>
      </c>
      <c r="D29" s="36" t="n">
        <f aca="false">D27*D28</f>
        <v>165.5296</v>
      </c>
      <c r="E29" s="36" t="n">
        <f aca="false">E27*E28</f>
        <v>645.56544</v>
      </c>
      <c r="F29" s="36" t="n">
        <f aca="false">F27*F28</f>
        <v>1549.357056</v>
      </c>
      <c r="G29" s="36" t="n">
        <f aca="false">G27*G28</f>
        <v>2969.601024</v>
      </c>
    </row>
    <row r="30" customFormat="false" ht="15" hidden="false" customHeight="true" outlineLevel="0" collapsed="false">
      <c r="A30" s="13" t="s">
        <v>570</v>
      </c>
      <c r="C30" s="34" t="n">
        <f aca="false">C25*Inputs!$B$103</f>
        <v>0</v>
      </c>
      <c r="D30" s="34" t="n">
        <f aca="false">D25*Inputs!$B$103</f>
        <v>206.912</v>
      </c>
      <c r="E30" s="34" t="n">
        <f aca="false">E25*Inputs!$B$103</f>
        <v>806.9568</v>
      </c>
      <c r="F30" s="34" t="n">
        <f aca="false">F25*Inputs!$B$103</f>
        <v>1936.69632</v>
      </c>
      <c r="G30" s="34" t="n">
        <f aca="false">G25*Inputs!$B$103</f>
        <v>3712.00128</v>
      </c>
    </row>
    <row r="31" customFormat="false" ht="15" hidden="false" customHeight="true" outlineLevel="0" collapsed="false">
      <c r="A31" s="13" t="s">
        <v>571</v>
      </c>
      <c r="C31" s="34" t="n">
        <f aca="false">C29-C30</f>
        <v>0</v>
      </c>
      <c r="D31" s="34" t="n">
        <f aca="false">D29-D30</f>
        <v>-41.3824</v>
      </c>
      <c r="E31" s="34" t="n">
        <f aca="false">E29-E30</f>
        <v>-161.39136</v>
      </c>
      <c r="F31" s="34" t="n">
        <f aca="false">F29-F30</f>
        <v>-387.339264</v>
      </c>
      <c r="G31" s="34" t="n">
        <f aca="false">G29-G30</f>
        <v>-742.400256</v>
      </c>
    </row>
    <row r="32" customFormat="false" ht="15" hidden="false" customHeight="true" outlineLevel="0" collapsed="false">
      <c r="A32" s="13" t="s">
        <v>572</v>
      </c>
      <c r="C32" s="34" t="n">
        <f aca="false">C29*Inputs!$B$104</f>
        <v>0</v>
      </c>
      <c r="D32" s="34" t="n">
        <f aca="false">D29*Inputs!$B$104</f>
        <v>49.65888</v>
      </c>
      <c r="E32" s="34" t="n">
        <f aca="false">E29*Inputs!$B$104</f>
        <v>193.669632</v>
      </c>
      <c r="F32" s="34" t="n">
        <f aca="false">F29*Inputs!$B$104</f>
        <v>464.8071168</v>
      </c>
      <c r="G32" s="34" t="n">
        <f aca="false">G29*Inputs!$B$104</f>
        <v>890.8803072</v>
      </c>
    </row>
    <row r="33" customFormat="false" ht="15" hidden="false" customHeight="true" outlineLevel="0" collapsed="false">
      <c r="A33" s="13" t="s">
        <v>573</v>
      </c>
      <c r="C33" s="34" t="n">
        <f aca="false">C29*Inputs!$B$105</f>
        <v>0</v>
      </c>
      <c r="D33" s="34" t="n">
        <f aca="false">D29*Inputs!$B$105</f>
        <v>41.3824</v>
      </c>
      <c r="E33" s="34" t="n">
        <f aca="false">E29*Inputs!$B$105</f>
        <v>161.39136</v>
      </c>
      <c r="F33" s="34" t="n">
        <f aca="false">F29*Inputs!$B$105</f>
        <v>387.339264</v>
      </c>
      <c r="G33" s="34" t="n">
        <f aca="false">G29*Inputs!$B$105</f>
        <v>742.400256</v>
      </c>
    </row>
    <row r="34" customFormat="false" ht="15" hidden="false" customHeight="true" outlineLevel="0" collapsed="false">
      <c r="A34" s="13" t="s">
        <v>574</v>
      </c>
      <c r="C34" s="34" t="n">
        <f aca="false">C29*Inputs!$B$106</f>
        <v>0</v>
      </c>
      <c r="D34" s="34" t="n">
        <f aca="false">D29*Inputs!$B$106</f>
        <v>24.82944</v>
      </c>
      <c r="E34" s="34" t="n">
        <f aca="false">E29*Inputs!$B$106</f>
        <v>96.834816</v>
      </c>
      <c r="F34" s="34" t="n">
        <f aca="false">F29*Inputs!$B$106</f>
        <v>232.4035584</v>
      </c>
      <c r="G34" s="34" t="n">
        <f aca="false">G29*Inputs!$B$106</f>
        <v>445.4401536</v>
      </c>
    </row>
    <row r="35" customFormat="false" ht="15" hidden="false" customHeight="true" outlineLevel="0" collapsed="false">
      <c r="A35" s="10" t="s">
        <v>575</v>
      </c>
      <c r="C35" s="35" t="n">
        <f aca="false">C29-C30-C32-C33-C34</f>
        <v>0</v>
      </c>
      <c r="D35" s="35" t="n">
        <f aca="false">D29-D30-D32-D33-D34</f>
        <v>-157.25312</v>
      </c>
      <c r="E35" s="35" t="n">
        <f aca="false">E29-E30-E32-E33-E34</f>
        <v>-613.287168</v>
      </c>
      <c r="F35" s="35" t="n">
        <f aca="false">F29-F30-F32-F33-F34</f>
        <v>-1471.8892032</v>
      </c>
      <c r="G35" s="35" t="n">
        <f aca="false">G29-G30-G32-G33-G34</f>
        <v>-2821.1209728</v>
      </c>
    </row>
    <row r="36" customFormat="false" ht="15" hidden="false" customHeight="true" outlineLevel="0" collapsed="false">
      <c r="A36" s="13" t="s">
        <v>91</v>
      </c>
      <c r="C36" s="54" t="n">
        <f aca="false">IFERROR(C27/Inputs!$B$27,0)</f>
        <v>0</v>
      </c>
      <c r="D36" s="54" t="n">
        <f aca="false">IFERROR(D27/Inputs!$B$27,0)</f>
        <v>4.13824E-005</v>
      </c>
      <c r="E36" s="54" t="n">
        <f aca="false">IFERROR(E27/Inputs!$B$27,0)</f>
        <v>0.00016139136</v>
      </c>
      <c r="F36" s="54" t="n">
        <f aca="false">IFERROR(F27/Inputs!$B$27,0)</f>
        <v>0.000387339264</v>
      </c>
      <c r="G36" s="54" t="n">
        <f aca="false">IFERROR(G27/Inputs!$B$27,0)</f>
        <v>0.000742400256</v>
      </c>
    </row>
    <row r="37" customFormat="false" ht="15" hidden="false" customHeight="true" outlineLevel="0" collapsed="false">
      <c r="A37" s="13" t="s">
        <v>576</v>
      </c>
      <c r="C37" s="34" t="n">
        <f aca="false">CHOOSE(Inputs!$B$35,C31*Inputs!B$55,C29*Inputs!$B$36,0)</f>
        <v>0</v>
      </c>
      <c r="D37" s="34" t="n">
        <f aca="false">CHOOSE(Inputs!$B$35,D31*Inputs!C$55,D29*Inputs!$B$36,0)</f>
        <v>-1.655296</v>
      </c>
      <c r="E37" s="34" t="n">
        <f aca="false">CHOOSE(Inputs!$B$35,E31*Inputs!D$55,E29*Inputs!$B$36,0)</f>
        <v>-8.069568</v>
      </c>
      <c r="F37" s="34" t="n">
        <f aca="false">CHOOSE(Inputs!$B$35,F31*Inputs!E$55,F29*Inputs!$B$36,0)</f>
        <v>-19.3669632</v>
      </c>
      <c r="G37" s="34" t="n">
        <f aca="false">CHOOSE(Inputs!$B$35,G31*Inputs!F$55,G29*Inputs!$B$36,0)</f>
        <v>-37.1200128</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Inputs!$B$92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26666</v>
      </c>
      <c r="D44" s="34" t="n">
        <f aca="false">D10*Inputs!$B$39</f>
        <v>42665.6</v>
      </c>
      <c r="E44" s="34" t="n">
        <f aca="false">E10*Inputs!$B$39</f>
        <v>55465.28</v>
      </c>
      <c r="F44" s="34" t="n">
        <f aca="false">F10*Inputs!$B$39</f>
        <v>66558.336</v>
      </c>
      <c r="G44" s="34" t="n">
        <f aca="false">G10*Inputs!$B$39</f>
        <v>76542.0864</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51728</v>
      </c>
      <c r="D49" s="34" t="n">
        <f aca="false">D5</f>
        <v>82764.8</v>
      </c>
      <c r="E49" s="34" t="n">
        <f aca="false">E5</f>
        <v>107594.24</v>
      </c>
      <c r="F49" s="34" t="n">
        <f aca="false">F5</f>
        <v>129113.088</v>
      </c>
      <c r="G49" s="34" t="n">
        <f aca="false">G5</f>
        <v>148480.0512</v>
      </c>
    </row>
    <row r="50" customFormat="false" ht="15" hidden="false" customHeight="true" outlineLevel="0" collapsed="false">
      <c r="A50" s="13" t="s">
        <v>558</v>
      </c>
      <c r="C50" s="34" t="n">
        <f aca="false">C17</f>
        <v>-378.764690610115</v>
      </c>
      <c r="D50" s="34" t="n">
        <f aca="false">D17</f>
        <v>4510.336</v>
      </c>
      <c r="E50" s="34" t="n">
        <f aca="false">E17</f>
        <v>9091.264</v>
      </c>
      <c r="F50" s="34" t="n">
        <f aca="false">F17</f>
        <v>14782.90944</v>
      </c>
      <c r="G50" s="34" t="n">
        <f aca="false">G17</f>
        <v>18485.146368</v>
      </c>
    </row>
    <row r="51" customFormat="false" ht="15" hidden="false" customHeight="true" outlineLevel="0" collapsed="false">
      <c r="A51" s="13" t="s">
        <v>586</v>
      </c>
      <c r="C51" s="34" t="n">
        <f aca="false">C5*Inputs!B$55</f>
        <v>1551.84</v>
      </c>
      <c r="D51" s="34" t="n">
        <f aca="false">D5*Inputs!C$55</f>
        <v>3310.592</v>
      </c>
      <c r="E51" s="34" t="n">
        <f aca="false">E5*Inputs!D$55</f>
        <v>5379.712</v>
      </c>
      <c r="F51" s="34" t="n">
        <f aca="false">F5*Inputs!E$55</f>
        <v>6455.6544</v>
      </c>
      <c r="G51" s="34" t="n">
        <f aca="false">G5*Inputs!F$55</f>
        <v>7424.00256</v>
      </c>
    </row>
    <row r="52" customFormat="false" ht="15" hidden="false" customHeight="true" outlineLevel="0" collapsed="false">
      <c r="A52" s="13" t="s">
        <v>587</v>
      </c>
      <c r="C52" s="33" t="n">
        <v>0</v>
      </c>
      <c r="D52" s="34" t="n">
        <f aca="false">SUMPRODUCT($D51:D51,--((4-COLUMN($D51:D51))&lt;Inputs!$B$32))/Inputs!$B$32</f>
        <v>662.1184</v>
      </c>
      <c r="E52" s="34" t="n">
        <f aca="false">SUMPRODUCT($D51:E51,--((5-COLUMN($D51:E51))&lt;Inputs!$B$32))/Inputs!$B$32</f>
        <v>1738.0608</v>
      </c>
      <c r="F52" s="34" t="n">
        <f aca="false">SUMPRODUCT($D51:F51,--((6-COLUMN($D51:F51))&lt;Inputs!$B$32))/Inputs!$B$32</f>
        <v>3029.19168</v>
      </c>
      <c r="G52" s="34" t="n">
        <f aca="false">SUMPRODUCT($D51:G51,--((7-COLUMN($D51:G51))&lt;Inputs!$B$32))/Inputs!$B$32</f>
        <v>4513.992192</v>
      </c>
    </row>
    <row r="53" customFormat="false" ht="15" hidden="false" customHeight="true" outlineLevel="0" collapsed="false">
      <c r="A53" s="10" t="s">
        <v>588</v>
      </c>
      <c r="C53" s="36" t="n">
        <f aca="false">C50-C52</f>
        <v>-378.764690610115</v>
      </c>
      <c r="D53" s="36" t="n">
        <f aca="false">D50-D52</f>
        <v>3848.2176</v>
      </c>
      <c r="E53" s="36" t="n">
        <f aca="false">E50-E52</f>
        <v>7353.2032</v>
      </c>
      <c r="F53" s="36" t="n">
        <f aca="false">F50-F52</f>
        <v>11753.71776</v>
      </c>
      <c r="G53" s="36" t="n">
        <f aca="false">G50-G52</f>
        <v>13971.154176</v>
      </c>
    </row>
    <row r="54" customFormat="false" ht="15" hidden="false" customHeight="true" outlineLevel="0" collapsed="false">
      <c r="A54" s="13" t="s">
        <v>589</v>
      </c>
      <c r="C54" s="16" t="n">
        <f aca="false">IFERROR(C53/C49,0)</f>
        <v>-0.00732223729141112</v>
      </c>
      <c r="D54" s="16" t="n">
        <f aca="false">IFERROR(D53/D49,0)</f>
        <v>0.0464958243117847</v>
      </c>
      <c r="E54" s="16" t="n">
        <f aca="false">IFERROR(E53/E49,0)</f>
        <v>0.0683419781579385</v>
      </c>
      <c r="F54" s="16" t="n">
        <f aca="false">IFERROR(F53/F49,0)</f>
        <v>0.0910342858502463</v>
      </c>
      <c r="G54" s="16" t="n">
        <f aca="false">IFERROR(G53/G49,0)</f>
        <v>0.0940944865191425</v>
      </c>
    </row>
    <row r="55" customFormat="false" ht="15" hidden="false" customHeight="true" outlineLevel="0" collapsed="false">
      <c r="A55" s="13" t="s">
        <v>590</v>
      </c>
      <c r="C55" s="34" t="n">
        <f aca="false">Historicals!F43+C80*Inputs!$B$20/2</f>
        <v>2756.6375</v>
      </c>
      <c r="D55" s="34" t="n">
        <f aca="false">MAX(0,D80-D81)*Inputs!$B$20</f>
        <v>3455.78866650249</v>
      </c>
      <c r="E55" s="34" t="n">
        <f aca="false">MAX(0,E80-E81)*Inputs!$B$20</f>
        <v>3769.89815954165</v>
      </c>
      <c r="F55" s="34" t="n">
        <f aca="false">MAX(0,F80-F81)*Inputs!$B$20</f>
        <v>4134.21932933342</v>
      </c>
      <c r="G55" s="34" t="n">
        <f aca="false">MAX(0,G80-G81)*Inputs!$B$20</f>
        <v>4607.01510692313</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2377.87280938989</v>
      </c>
      <c r="D58" s="34" t="n">
        <f aca="false">D53+D55+D56-D57</f>
        <v>7304.00626650248</v>
      </c>
      <c r="E58" s="34" t="n">
        <f aca="false">E53+E55+E56-E57</f>
        <v>11123.1013595416</v>
      </c>
      <c r="F58" s="34" t="n">
        <f aca="false">F53+F55+F56-F57</f>
        <v>15887.9370893334</v>
      </c>
      <c r="G58" s="34" t="n">
        <f aca="false">G53+G55+G56-G57</f>
        <v>18578.1692829231</v>
      </c>
    </row>
    <row r="59" customFormat="false" ht="15" hidden="false" customHeight="true" outlineLevel="0" collapsed="false">
      <c r="A59" s="13" t="s">
        <v>594</v>
      </c>
      <c r="C59" s="34" t="n">
        <f aca="false">C58*Inputs!$B$46</f>
        <v>1712.06842276072</v>
      </c>
      <c r="D59" s="34" t="n">
        <f aca="false">D58*Inputs!$B$46</f>
        <v>5258.88451188179</v>
      </c>
      <c r="E59" s="34" t="n">
        <f aca="false">E58*Inputs!$B$46</f>
        <v>8008.63297886998</v>
      </c>
      <c r="F59" s="34" t="n">
        <f aca="false">F58*Inputs!$B$46</f>
        <v>11439.3147043201</v>
      </c>
      <c r="G59" s="34" t="n">
        <f aca="false">G58*Inputs!$B$46</f>
        <v>13376.2818837046</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102.724105365643</v>
      </c>
      <c r="D63" s="34" t="n">
        <f aca="false">MAX(0,D59-D61)*Inputs!$B$47</f>
        <v>63.5330707129073</v>
      </c>
      <c r="E63" s="34" t="n">
        <f aca="false">MAX(0,E59-E61)*Inputs!$B$47</f>
        <v>480.517978732199</v>
      </c>
      <c r="F63" s="34" t="n">
        <f aca="false">MAX(0,F59-F61)*Inputs!$B$47</f>
        <v>686.358882259204</v>
      </c>
      <c r="G63" s="34" t="n">
        <f aca="false">MAX(0,G59-G61)*Inputs!$B$47</f>
        <v>802.576913022279</v>
      </c>
    </row>
    <row r="64" customFormat="false" ht="15" hidden="false" customHeight="true" outlineLevel="0" collapsed="false">
      <c r="A64" s="13" t="s">
        <v>599</v>
      </c>
      <c r="C64" s="34" t="n">
        <f aca="false">C58-C63</f>
        <v>2275.14870402424</v>
      </c>
      <c r="D64" s="34" t="n">
        <f aca="false">D58-D63</f>
        <v>7240.47319578958</v>
      </c>
      <c r="E64" s="34" t="n">
        <f aca="false">E58-E63</f>
        <v>10642.5833808094</v>
      </c>
      <c r="F64" s="34" t="n">
        <f aca="false">F58-F63</f>
        <v>15201.5782070742</v>
      </c>
      <c r="G64" s="34" t="n">
        <f aca="false">G58-G63</f>
        <v>17775.5923699008</v>
      </c>
    </row>
    <row r="65" customFormat="false" ht="15" hidden="false" customHeight="true" outlineLevel="0" collapsed="false">
      <c r="A65" s="13" t="s">
        <v>600</v>
      </c>
      <c r="C65" s="34" t="n">
        <f aca="false">Inputs!$B$44</f>
        <v>8200</v>
      </c>
      <c r="D65" s="34" t="n">
        <f aca="false">C67</f>
        <v>6379.88103678061</v>
      </c>
      <c r="E65" s="34" t="n">
        <f aca="false">D67</f>
        <v>587.502480148944</v>
      </c>
      <c r="F65" s="34" t="n">
        <f aca="false">E67</f>
        <v>0</v>
      </c>
      <c r="G65" s="34" t="n">
        <f aca="false">F67</f>
        <v>0</v>
      </c>
    </row>
    <row r="66" customFormat="false" ht="15" hidden="false" customHeight="true" outlineLevel="0" collapsed="false">
      <c r="A66" s="13" t="s">
        <v>601</v>
      </c>
      <c r="C66" s="34" t="n">
        <f aca="false">MIN(C65,Inputs!$B$45*MAX(0,C64))</f>
        <v>1820.11896321939</v>
      </c>
      <c r="D66" s="34" t="n">
        <f aca="false">MIN(D65,Inputs!$B$45*MAX(0,D64))</f>
        <v>5792.37855663166</v>
      </c>
      <c r="E66" s="34" t="n">
        <f aca="false">MIN(E65,Inputs!$B$45*MAX(0,E64))</f>
        <v>587.502480148944</v>
      </c>
      <c r="F66" s="34" t="n">
        <f aca="false">MIN(F65,Inputs!$B$45*MAX(0,F64))</f>
        <v>0</v>
      </c>
      <c r="G66" s="34" t="n">
        <f aca="false">MIN(G65,Inputs!$B$45*MAX(0,G64))</f>
        <v>0</v>
      </c>
    </row>
    <row r="67" customFormat="false" ht="15" hidden="false" customHeight="true" outlineLevel="0" collapsed="false">
      <c r="A67" s="13" t="s">
        <v>602</v>
      </c>
      <c r="C67" s="34" t="n">
        <f aca="false">C65-C66+MAX(0,-C64)</f>
        <v>6379.88103678061</v>
      </c>
      <c r="D67" s="34" t="n">
        <f aca="false">D65-D66+MAX(0,-D64)</f>
        <v>587.502480148944</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95.5562455690182</v>
      </c>
      <c r="D68" s="34" t="n">
        <f aca="false">MAX(0,D64-D66)*Inputs!$B$43</f>
        <v>304.099874223162</v>
      </c>
      <c r="E68" s="34" t="n">
        <f aca="false">MAX(0,E64-E66)*Inputs!$B$43</f>
        <v>2111.56698913871</v>
      </c>
      <c r="F68" s="34" t="n">
        <f aca="false">MAX(0,F64-F66)*Inputs!$B$43</f>
        <v>3192.33142348559</v>
      </c>
      <c r="G68" s="34" t="n">
        <f aca="false">MAX(0,G64-G66)*Inputs!$B$43</f>
        <v>3732.87439767918</v>
      </c>
    </row>
    <row r="69" customFormat="false" ht="15" hidden="false" customHeight="true" outlineLevel="0" collapsed="false">
      <c r="A69" s="10" t="s">
        <v>604</v>
      </c>
      <c r="C69" s="36" t="n">
        <f aca="false">IF(Inputs!$B$90=0,MAX(0,C53+C55)*Inputs!B$54,IF(Inputs!$B$90=2,MAX(0,C58)*Inputs!$B$91,C63+C68))</f>
        <v>198.280350934661</v>
      </c>
      <c r="D69" s="36" t="n">
        <f aca="false">IF(Inputs!$B$90=0,MAX(0,D53+D55)*Inputs!C$54,IF(Inputs!$B$90=2,MAX(0,D58)*Inputs!$B$91,D63+D68))</f>
        <v>367.632944936069</v>
      </c>
      <c r="E69" s="36" t="n">
        <f aca="false">IF(Inputs!$B$90=0,MAX(0,E53+E55)*Inputs!D$54,IF(Inputs!$B$90=2,MAX(0,E58)*Inputs!$B$91,E63+E68))</f>
        <v>2592.0849678709</v>
      </c>
      <c r="F69" s="36" t="n">
        <f aca="false">IF(Inputs!$B$90=0,MAX(0,F53+F55)*Inputs!E$54,IF(Inputs!$B$90=2,MAX(0,F58)*Inputs!$B$91,F63+F68))</f>
        <v>3878.69030574479</v>
      </c>
      <c r="G69" s="36" t="n">
        <f aca="false">IF(Inputs!$B$90=0,MAX(0,G53+G55)*Inputs!F$54,IF(Inputs!$B$90=2,MAX(0,G58)*Inputs!$B$91,G63+G68))</f>
        <v>4535.45131070146</v>
      </c>
    </row>
    <row r="70" customFormat="false" ht="15" hidden="false" customHeight="true" outlineLevel="0" collapsed="false">
      <c r="A70" s="13" t="s">
        <v>605</v>
      </c>
      <c r="C70" s="16" t="n">
        <f aca="false">IF(C58&gt;0,MIN(1,C69/C58),0)</f>
        <v>0.0833856</v>
      </c>
      <c r="D70" s="16" t="n">
        <f aca="false">IF(D58&gt;0,MIN(1,D69/D58),0)</f>
        <v>0.0503330544255009</v>
      </c>
      <c r="E70" s="16" t="n">
        <f aca="false">IF(E58&gt;0,MIN(1,E69/E58),0)</f>
        <v>0.23303617256417</v>
      </c>
      <c r="F70" s="16" t="n">
        <f aca="false">IF(F58&gt;0,MIN(1,F69/F58),0)</f>
        <v>0.244128</v>
      </c>
      <c r="G70" s="16" t="n">
        <f aca="false">IF(G58&gt;0,MIN(1,G69/G58),0)</f>
        <v>0.244128</v>
      </c>
    </row>
    <row r="71" customFormat="false" ht="15" hidden="false" customHeight="true" outlineLevel="0" collapsed="false">
      <c r="A71" s="13" t="s">
        <v>606</v>
      </c>
      <c r="C71" s="34" t="n">
        <f aca="false">C53+C55-C69</f>
        <v>2179.59245845522</v>
      </c>
      <c r="D71" s="34" t="n">
        <f aca="false">D53+D55-D69</f>
        <v>6936.37332156641</v>
      </c>
      <c r="E71" s="34" t="n">
        <f aca="false">E53+E55-E69</f>
        <v>8531.01639167074</v>
      </c>
      <c r="F71" s="34" t="n">
        <f aca="false">F53+F55-F69</f>
        <v>12009.2467835886</v>
      </c>
      <c r="G71" s="34" t="n">
        <f aca="false">G53+G55-G69</f>
        <v>14042.7179722217</v>
      </c>
    </row>
    <row r="72" customFormat="false" ht="15" hidden="false" customHeight="true" outlineLevel="0" collapsed="false">
      <c r="A72" s="13" t="s">
        <v>607</v>
      </c>
      <c r="C72" s="34" t="n">
        <f aca="false">C12+C20</f>
        <v>8178.79420164431</v>
      </c>
      <c r="D72" s="34" t="n">
        <f aca="false">D12+D20</f>
        <v>8276.48</v>
      </c>
      <c r="E72" s="34" t="n">
        <f aca="false">E12+E20</f>
        <v>9683.4816</v>
      </c>
      <c r="F72" s="34" t="n">
        <f aca="false">F12+F20</f>
        <v>10329.04704</v>
      </c>
      <c r="G72" s="34" t="n">
        <f aca="false">G12+G20</f>
        <v>10393.603584</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8806.54666009953</v>
      </c>
      <c r="D75" s="36" t="n">
        <f aca="false">D53+D72+D52+D55-D69-D51+D73+D74</f>
        <v>12564.3797215664</v>
      </c>
      <c r="E75" s="36" t="n">
        <f aca="false">E53+E72+E52+E55-E69-E51+E73+E74</f>
        <v>14572.8467916707</v>
      </c>
      <c r="F75" s="36" t="n">
        <f aca="false">F53+F72+F52+F55-F69-F51+F73+F74</f>
        <v>18911.8311035886</v>
      </c>
      <c r="G75" s="36" t="n">
        <f aca="false">G53+G72+G52+G55-G69-G51+G73+G74</f>
        <v>21526.3111882217</v>
      </c>
    </row>
    <row r="76" customFormat="false" ht="15" hidden="false" customHeight="true" outlineLevel="0" collapsed="false">
      <c r="A76" s="10" t="s">
        <v>611</v>
      </c>
      <c r="C76" s="36" t="n">
        <f aca="false">C53+C52-(C69-C55*C70)-C51+C73+C74</f>
        <v>-1899.02116962478</v>
      </c>
      <c r="D76" s="36" t="n">
        <f aca="false">D53+D52-(D69-D55*D70)-D51+D73+D74</f>
        <v>1006.05145409803</v>
      </c>
      <c r="E76" s="36" t="n">
        <f aca="false">E53+E52-(E69-E55*E70)-E51+E73+E74</f>
        <v>1997.98967018539</v>
      </c>
      <c r="F76" s="36" t="n">
        <f aca="false">F53+F52-(F69-F55*F70)-F51+F73+F74</f>
        <v>5457.84343068672</v>
      </c>
      <c r="G76" s="36" t="n">
        <f aca="false">G53+G52-(G69-G55*G70)-G51+G73+G74</f>
        <v>7650.39388132146</v>
      </c>
    </row>
    <row r="77" customFormat="false" ht="15" hidden="false" customHeight="true" outlineLevel="0" collapsed="false">
      <c r="A77" s="13" t="s">
        <v>612</v>
      </c>
      <c r="C77" s="16" t="n">
        <f aca="false">IFERROR(C76/C49,0)</f>
        <v>-0.0367116681415244</v>
      </c>
      <c r="D77" s="16" t="n">
        <f aca="false">IFERROR(D76/D49,0)</f>
        <v>0.0121555474561411</v>
      </c>
      <c r="E77" s="16" t="n">
        <f aca="false">IFERROR(E76/E49,0)</f>
        <v>0.0185696712963946</v>
      </c>
      <c r="F77" s="16" t="n">
        <f aca="false">IFERROR(F76/F49,0)</f>
        <v>0.0422718061757358</v>
      </c>
      <c r="G77" s="16" t="n">
        <f aca="false">IFERROR(G76/G49,0)</f>
        <v>0.0515247255068394</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138231.5466601</v>
      </c>
      <c r="E80" s="34" t="n">
        <f aca="false">D85</f>
        <v>150795.926381666</v>
      </c>
      <c r="F80" s="34" t="n">
        <f aca="false">E85</f>
        <v>165368.773173337</v>
      </c>
      <c r="G80" s="34" t="n">
        <f aca="false">F85</f>
        <v>184280.604276925</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6580.54666009953</v>
      </c>
      <c r="D82" s="34" t="n">
        <f aca="false">D75</f>
        <v>12564.3797215664</v>
      </c>
      <c r="E82" s="34" t="n">
        <f aca="false">E75</f>
        <v>14572.8467916707</v>
      </c>
      <c r="F82" s="34" t="n">
        <f aca="false">F75</f>
        <v>18911.8311035886</v>
      </c>
      <c r="G82" s="34" t="n">
        <f aca="false">G75</f>
        <v>21526.3111882217</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138231.5466601</v>
      </c>
      <c r="D85" s="36" t="n">
        <f aca="false">D80+D82+D83+D84</f>
        <v>150795.926381666</v>
      </c>
      <c r="E85" s="36" t="n">
        <f aca="false">E80+E82+E83+E84</f>
        <v>165368.773173337</v>
      </c>
      <c r="F85" s="36" t="n">
        <f aca="false">F80+F82+F83+F84</f>
        <v>184280.604276925</v>
      </c>
      <c r="G85" s="36" t="n">
        <f aca="false">G80+G82+G83+G84</f>
        <v>205806.915465147</v>
      </c>
    </row>
    <row r="86" customFormat="false" ht="15" hidden="false" customHeight="true" outlineLevel="0" collapsed="false">
      <c r="A86" s="13" t="s">
        <v>622</v>
      </c>
      <c r="C86" s="34" t="n">
        <f aca="false">MIN(C80-C81,C85)</f>
        <v>131651</v>
      </c>
      <c r="D86" s="34" t="n">
        <f aca="false">MIN(D80-D81,D85)</f>
        <v>138231.5466601</v>
      </c>
      <c r="E86" s="34" t="n">
        <f aca="false">MIN(E80-E81,E85)</f>
        <v>150795.926381666</v>
      </c>
      <c r="F86" s="34" t="n">
        <f aca="false">MIN(F80-F81,F85)</f>
        <v>165368.773173337</v>
      </c>
      <c r="G86" s="34" t="n">
        <f aca="false">MIN(G80-G81,G85)</f>
        <v>184280.604276925</v>
      </c>
    </row>
    <row r="87" customFormat="false" ht="15" hidden="false" customHeight="true" outlineLevel="0" collapsed="false">
      <c r="A87" s="13" t="s">
        <v>623</v>
      </c>
      <c r="C87" s="34" t="n">
        <f aca="false">C86-Inputs!$B$29</f>
        <v>126651</v>
      </c>
      <c r="D87" s="34" t="n">
        <f aca="false">D86-Inputs!$B$29</f>
        <v>133231.5466601</v>
      </c>
      <c r="E87" s="34" t="n">
        <f aca="false">E86-Inputs!$B$29</f>
        <v>145795.926381666</v>
      </c>
      <c r="F87" s="34" t="n">
        <f aca="false">F86-Inputs!$B$29</f>
        <v>160368.773173337</v>
      </c>
      <c r="G87" s="34" t="n">
        <f aca="false">G86-Inputs!$B$29</f>
        <v>179280.604276925</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138231.5466601</v>
      </c>
      <c r="D100" s="34" t="n">
        <f aca="false">D85+SUM($C97:D97)+SUM($C98:D98)-SUM($C99:D99)</f>
        <v>150795.926381666</v>
      </c>
      <c r="E100" s="34" t="n">
        <f aca="false">E85+SUM($C97:E97)+SUM($C98:E98)-SUM($C99:E99)</f>
        <v>165368.773173337</v>
      </c>
      <c r="F100" s="34" t="n">
        <f aca="false">F85+SUM($C97:F97)+SUM($C98:F98)-SUM($C99:F99)</f>
        <v>184280.604276925</v>
      </c>
      <c r="G100" s="34" t="n">
        <f aca="false">G85+SUM($C97:G97)+SUM($C98:G98)-SUM($C99:G99)</f>
        <v>205806.915465147</v>
      </c>
    </row>
    <row r="101" customFormat="false" ht="15" hidden="false" customHeight="true" outlineLevel="0" collapsed="false">
      <c r="A101" s="13" t="s">
        <v>637</v>
      </c>
      <c r="C101" s="34" t="n">
        <f aca="false">MIN(C80-C81+0+C97,C100)</f>
        <v>131651</v>
      </c>
      <c r="D101" s="34" t="n">
        <f aca="false">MIN(D80-D81+SUM($C97:C97)+SUM($C98:C98)-SUM($C99:C99)+D97,D100)</f>
        <v>138231.5466601</v>
      </c>
      <c r="E101" s="34" t="n">
        <f aca="false">MIN(E80-E81+SUM($C97:D97)+SUM($C98:D98)-SUM($C99:D99)+E97,E100)</f>
        <v>150795.926381666</v>
      </c>
      <c r="F101" s="34" t="n">
        <f aca="false">MIN(F80-F81+SUM($C97:E97)+SUM($C98:E98)-SUM($C99:E99)+F97,F100)</f>
        <v>165368.773173337</v>
      </c>
      <c r="G101" s="34" t="n">
        <f aca="false">MIN(G80-G81+SUM($C97:F97)+SUM($C98:F98)-SUM($C99:F99)+G97,G100)</f>
        <v>184280.604276925</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51728</v>
      </c>
      <c r="D105" s="34" t="n">
        <f aca="false">D5+D31</f>
        <v>82723.4176</v>
      </c>
      <c r="E105" s="34" t="n">
        <f aca="false">E5+E31</f>
        <v>107432.84864</v>
      </c>
      <c r="F105" s="34" t="n">
        <f aca="false">F5+F31</f>
        <v>128725.748736</v>
      </c>
      <c r="G105" s="34" t="n">
        <f aca="false">G5+G31</f>
        <v>147737.650944</v>
      </c>
    </row>
    <row r="106" customFormat="false" ht="15" hidden="false" customHeight="true" outlineLevel="0" collapsed="false">
      <c r="A106" s="13" t="s">
        <v>558</v>
      </c>
      <c r="C106" s="34" t="n">
        <f aca="false">C17+C35</f>
        <v>-378.764690610115</v>
      </c>
      <c r="D106" s="34" t="n">
        <f aca="false">D17+D35</f>
        <v>4353.08288</v>
      </c>
      <c r="E106" s="34" t="n">
        <f aca="false">E17+E35</f>
        <v>8477.976832</v>
      </c>
      <c r="F106" s="34" t="n">
        <f aca="false">F17+F35</f>
        <v>13311.0202368</v>
      </c>
      <c r="G106" s="34" t="n">
        <f aca="false">G17+G35</f>
        <v>15664.0253952</v>
      </c>
    </row>
    <row r="107" customFormat="false" ht="15" hidden="false" customHeight="true" outlineLevel="0" collapsed="false">
      <c r="A107" s="13" t="s">
        <v>586</v>
      </c>
      <c r="C107" s="34" t="n">
        <f aca="false">C51+C37</f>
        <v>1551.84</v>
      </c>
      <c r="D107" s="34" t="n">
        <f aca="false">D51+D37</f>
        <v>3308.936704</v>
      </c>
      <c r="E107" s="34" t="n">
        <f aca="false">E51+E37</f>
        <v>5371.642432</v>
      </c>
      <c r="F107" s="34" t="n">
        <f aca="false">F51+F37</f>
        <v>6436.2874368</v>
      </c>
      <c r="G107" s="34" t="n">
        <f aca="false">G51+G37</f>
        <v>7386.8825472</v>
      </c>
    </row>
    <row r="108" customFormat="false" ht="15" hidden="false" customHeight="true" outlineLevel="0" collapsed="false">
      <c r="A108" s="13" t="s">
        <v>587</v>
      </c>
      <c r="C108" s="33" t="n">
        <v>0</v>
      </c>
      <c r="D108" s="34" t="n">
        <f aca="false">SUMPRODUCT($D107:D107,--((4-COLUMN($D107:D107))&lt;Inputs!$B$32))/Inputs!$B$32</f>
        <v>661.7873408</v>
      </c>
      <c r="E108" s="34" t="n">
        <f aca="false">SUMPRODUCT($D107:E107,--((5-COLUMN($D107:E107))&lt;Inputs!$B$32))/Inputs!$B$32</f>
        <v>1736.1158272</v>
      </c>
      <c r="F108" s="34" t="n">
        <f aca="false">SUMPRODUCT($D107:F107,--((6-COLUMN($D107:F107))&lt;Inputs!$B$32))/Inputs!$B$32</f>
        <v>3023.37331456</v>
      </c>
      <c r="G108" s="34" t="n">
        <f aca="false">SUMPRODUCT($D107:G107,--((7-COLUMN($D107:G107))&lt;Inputs!$B$32))/Inputs!$B$32</f>
        <v>4500.749824</v>
      </c>
    </row>
    <row r="109" customFormat="false" ht="15" hidden="false" customHeight="true" outlineLevel="0" collapsed="false">
      <c r="A109" s="10" t="s">
        <v>588</v>
      </c>
      <c r="C109" s="36" t="n">
        <f aca="false">C106-C108</f>
        <v>-378.764690610115</v>
      </c>
      <c r="D109" s="36" t="n">
        <f aca="false">D106-D108</f>
        <v>3691.2955392</v>
      </c>
      <c r="E109" s="36" t="n">
        <f aca="false">E106-E108</f>
        <v>6741.8610048</v>
      </c>
      <c r="F109" s="36" t="n">
        <f aca="false">F106-F108</f>
        <v>10287.64692224</v>
      </c>
      <c r="G109" s="36" t="n">
        <f aca="false">G106-G108</f>
        <v>11163.2755712</v>
      </c>
    </row>
    <row r="110" customFormat="false" ht="15" hidden="false" customHeight="true" outlineLevel="0" collapsed="false">
      <c r="A110" s="13" t="s">
        <v>589</v>
      </c>
      <c r="C110" s="16" t="n">
        <f aca="false">IFERROR(C109/C105,0)</f>
        <v>-0.00732223729141112</v>
      </c>
      <c r="D110" s="16" t="n">
        <f aca="false">IFERROR(D109/D105,0)</f>
        <v>0.0446221353794744</v>
      </c>
      <c r="E110" s="16" t="n">
        <f aca="false">IFERROR(E109/E105,0)</f>
        <v>0.0627541863605563</v>
      </c>
      <c r="F110" s="16" t="n">
        <f aca="false">IFERROR(F109/F105,0)</f>
        <v>0.0799191072746343</v>
      </c>
      <c r="G110" s="16" t="n">
        <f aca="false">IFERROR(G109/G105,0)</f>
        <v>0.075561480095764</v>
      </c>
    </row>
    <row r="111" customFormat="false" ht="15" hidden="false" customHeight="true" outlineLevel="0" collapsed="false">
      <c r="A111" s="13" t="s">
        <v>590</v>
      </c>
      <c r="C111" s="34" t="n">
        <f aca="false">Historicals!F43+C136*Inputs!$B$20/2</f>
        <v>2756.6375</v>
      </c>
      <c r="D111" s="34" t="n">
        <f aca="false">MAX(0,D136-D137)*Inputs!$B$20</f>
        <v>3455.78866650249</v>
      </c>
      <c r="E111" s="34" t="n">
        <f aca="false">MAX(0,E136-E137)*Inputs!$B$20</f>
        <v>3766.33533994647</v>
      </c>
      <c r="F111" s="34" t="n">
        <f aca="false">MAX(0,F136-F137)*Inputs!$B$20</f>
        <v>4119.82048825131</v>
      </c>
      <c r="G111" s="34" t="n">
        <f aca="false">MAX(0,G136-G137)*Inputs!$B$20</f>
        <v>4564.97884135788</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2377.87280938989</v>
      </c>
      <c r="D114" s="34" t="n">
        <f aca="false">D109+D111+D112-D113</f>
        <v>7147.08420570248</v>
      </c>
      <c r="E114" s="34" t="n">
        <f aca="false">E109+E111+E112-E113</f>
        <v>10508.1963447465</v>
      </c>
      <c r="F114" s="34" t="n">
        <f aca="false">F109+F111+F112-F113</f>
        <v>14407.4674104913</v>
      </c>
      <c r="G114" s="34" t="n">
        <f aca="false">G109+G111+G112-G113</f>
        <v>15728.2544125579</v>
      </c>
    </row>
    <row r="115" customFormat="false" ht="15" hidden="false" customHeight="true" outlineLevel="0" collapsed="false">
      <c r="A115" s="13" t="s">
        <v>594</v>
      </c>
      <c r="C115" s="34" t="n">
        <f aca="false">C114*Inputs!$B$46</f>
        <v>1712.06842276072</v>
      </c>
      <c r="D115" s="34" t="n">
        <f aca="false">D114*Inputs!$B$46</f>
        <v>5145.90062810579</v>
      </c>
      <c r="E115" s="34" t="n">
        <f aca="false">E114*Inputs!$B$46</f>
        <v>7565.90136821746</v>
      </c>
      <c r="F115" s="34" t="n">
        <f aca="false">F114*Inputs!$B$46</f>
        <v>10373.3765355537</v>
      </c>
      <c r="G115" s="34" t="n">
        <f aca="false">G114*Inputs!$B$46</f>
        <v>11324.3431770417</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102.724105365643</v>
      </c>
      <c r="D119" s="34" t="n">
        <f aca="false">MAX(0,D115-D117)*Inputs!$B$47</f>
        <v>56.7540376863473</v>
      </c>
      <c r="E119" s="34" t="n">
        <f aca="false">MAX(0,E115-E117)*Inputs!$B$47</f>
        <v>453.954082093048</v>
      </c>
      <c r="F119" s="34" t="n">
        <f aca="false">MAX(0,F115-F117)*Inputs!$B$47</f>
        <v>622.402592133225</v>
      </c>
      <c r="G119" s="34" t="n">
        <f aca="false">MAX(0,G115-G117)*Inputs!$B$47</f>
        <v>679.4605906225</v>
      </c>
    </row>
    <row r="120" customFormat="false" ht="15" hidden="false" customHeight="true" outlineLevel="0" collapsed="false">
      <c r="A120" s="13" t="s">
        <v>599</v>
      </c>
      <c r="C120" s="34" t="n">
        <f aca="false">C114-C119</f>
        <v>2275.14870402424</v>
      </c>
      <c r="D120" s="34" t="n">
        <f aca="false">D114-D119</f>
        <v>7090.33016801614</v>
      </c>
      <c r="E120" s="34" t="n">
        <f aca="false">E114-E119</f>
        <v>10054.2422626534</v>
      </c>
      <c r="F120" s="34" t="n">
        <f aca="false">F114-F119</f>
        <v>13785.0648183581</v>
      </c>
      <c r="G120" s="34" t="n">
        <f aca="false">G114-G119</f>
        <v>15048.7938219354</v>
      </c>
    </row>
    <row r="121" customFormat="false" ht="15" hidden="false" customHeight="true" outlineLevel="0" collapsed="false">
      <c r="A121" s="13" t="s">
        <v>600</v>
      </c>
      <c r="C121" s="34" t="n">
        <f aca="false">Inputs!$B$44</f>
        <v>8200</v>
      </c>
      <c r="D121" s="34" t="n">
        <f aca="false">C123</f>
        <v>6379.88103678061</v>
      </c>
      <c r="E121" s="34" t="n">
        <f aca="false">D123</f>
        <v>707.616902367697</v>
      </c>
      <c r="F121" s="34" t="n">
        <f aca="false">E123</f>
        <v>0</v>
      </c>
      <c r="G121" s="34" t="n">
        <f aca="false">F123</f>
        <v>0</v>
      </c>
    </row>
    <row r="122" customFormat="false" ht="15" hidden="false" customHeight="true" outlineLevel="0" collapsed="false">
      <c r="A122" s="13" t="s">
        <v>601</v>
      </c>
      <c r="C122" s="34" t="n">
        <f aca="false">MIN(C121,Inputs!$B$45*MAX(0,C120))</f>
        <v>1820.11896321939</v>
      </c>
      <c r="D122" s="34" t="n">
        <f aca="false">MIN(D121,Inputs!$B$45*MAX(0,D120))</f>
        <v>5672.26413441291</v>
      </c>
      <c r="E122" s="34" t="n">
        <f aca="false">MIN(E121,Inputs!$B$45*MAX(0,E120))</f>
        <v>707.616902367697</v>
      </c>
      <c r="F122" s="34" t="n">
        <f aca="false">MIN(F121,Inputs!$B$45*MAX(0,F120))</f>
        <v>0</v>
      </c>
      <c r="G122" s="34" t="n">
        <f aca="false">MIN(G121,Inputs!$B$45*MAX(0,G120))</f>
        <v>0</v>
      </c>
    </row>
    <row r="123" customFormat="false" ht="15" hidden="false" customHeight="true" outlineLevel="0" collapsed="false">
      <c r="A123" s="13" t="s">
        <v>602</v>
      </c>
      <c r="C123" s="34" t="n">
        <f aca="false">C121-C122+MAX(0,-C120)</f>
        <v>6379.88103678061</v>
      </c>
      <c r="D123" s="34" t="n">
        <f aca="false">D121-D122+MAX(0,-D120)</f>
        <v>707.616902367697</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95.5562455690182</v>
      </c>
      <c r="D124" s="34" t="n">
        <f aca="false">MAX(0,D120-D122)*Inputs!$B$43</f>
        <v>297.793867056678</v>
      </c>
      <c r="E124" s="34" t="n">
        <f aca="false">MAX(0,E120-E122)*Inputs!$B$43</f>
        <v>1962.79132566</v>
      </c>
      <c r="F124" s="34" t="n">
        <f aca="false">MAX(0,F120-F122)*Inputs!$B$43</f>
        <v>2894.8636118552</v>
      </c>
      <c r="G124" s="34" t="n">
        <f aca="false">MAX(0,G120-G122)*Inputs!$B$43</f>
        <v>3160.24670260643</v>
      </c>
    </row>
    <row r="125" customFormat="false" ht="15" hidden="false" customHeight="true" outlineLevel="0" collapsed="false">
      <c r="A125" s="10" t="s">
        <v>604</v>
      </c>
      <c r="C125" s="36" t="n">
        <f aca="false">IF(Inputs!$B$90=0,MAX(0,C109+C111)*Inputs!B$54,IF(Inputs!$B$90=2,MAX(0,C114)*Inputs!$B$91,C119+C124))</f>
        <v>198.280350934661</v>
      </c>
      <c r="D125" s="36" t="n">
        <f aca="false">IF(Inputs!$B$90=0,MAX(0,D109+D111)*Inputs!C$54,IF(Inputs!$B$90=2,MAX(0,D114)*Inputs!$B$91,D119+D124))</f>
        <v>354.547904743025</v>
      </c>
      <c r="E125" s="36" t="n">
        <f aca="false">IF(Inputs!$B$90=0,MAX(0,E109+E111)*Inputs!D$54,IF(Inputs!$B$90=2,MAX(0,E114)*Inputs!$B$91,E119+E124))</f>
        <v>2416.74540775305</v>
      </c>
      <c r="F125" s="36" t="n">
        <f aca="false">IF(Inputs!$B$90=0,MAX(0,F109+F111)*Inputs!E$54,IF(Inputs!$B$90=2,MAX(0,F114)*Inputs!$B$91,F119+F124))</f>
        <v>3517.26620398842</v>
      </c>
      <c r="G125" s="36" t="n">
        <f aca="false">IF(Inputs!$B$90=0,MAX(0,G109+G111)*Inputs!F$54,IF(Inputs!$B$90=2,MAX(0,G114)*Inputs!$B$91,G119+G124))</f>
        <v>3839.70729322893</v>
      </c>
    </row>
    <row r="126" customFormat="false" ht="15" hidden="false" customHeight="true" outlineLevel="0" collapsed="false">
      <c r="A126" s="13" t="s">
        <v>605</v>
      </c>
      <c r="C126" s="16" t="n">
        <f aca="false">IF(C114&gt;0,MIN(1,C125/C114),0)</f>
        <v>0.0833856</v>
      </c>
      <c r="D126" s="16" t="n">
        <f aca="false">IF(D114&gt;0,MIN(1,D125/D114),0)</f>
        <v>0.0496073495902203</v>
      </c>
      <c r="E126" s="16" t="n">
        <f aca="false">IF(E114&gt;0,MIN(1,E125/E114),0)</f>
        <v>0.229986700711135</v>
      </c>
      <c r="F126" s="16" t="n">
        <f aca="false">IF(F114&gt;0,MIN(1,F125/F114),0)</f>
        <v>0.244128</v>
      </c>
      <c r="G126" s="16" t="n">
        <f aca="false">IF(G114&gt;0,MIN(1,G125/G114),0)</f>
        <v>0.244128</v>
      </c>
    </row>
    <row r="127" customFormat="false" ht="15" hidden="false" customHeight="true" outlineLevel="0" collapsed="false">
      <c r="A127" s="13" t="s">
        <v>606</v>
      </c>
      <c r="C127" s="34" t="n">
        <f aca="false">C109+C111-C125</f>
        <v>2179.59245845522</v>
      </c>
      <c r="D127" s="34" t="n">
        <f aca="false">D109+D111-D125</f>
        <v>6792.53630095946</v>
      </c>
      <c r="E127" s="34" t="n">
        <f aca="false">E109+E111-E125</f>
        <v>8091.45093699342</v>
      </c>
      <c r="F127" s="34" t="n">
        <f aca="false">F109+F111-F125</f>
        <v>10890.2012065029</v>
      </c>
      <c r="G127" s="34" t="n">
        <f aca="false">G109+G111-G125</f>
        <v>11888.5471193289</v>
      </c>
    </row>
    <row r="128" customFormat="false" ht="15" hidden="false" customHeight="true" outlineLevel="0" collapsed="false">
      <c r="A128" s="13" t="s">
        <v>607</v>
      </c>
      <c r="C128" s="34" t="n">
        <f aca="false">C12+C20</f>
        <v>8178.79420164431</v>
      </c>
      <c r="D128" s="34" t="n">
        <f aca="false">D12+D20</f>
        <v>8276.48</v>
      </c>
      <c r="E128" s="34" t="n">
        <f aca="false">E12+E20</f>
        <v>9683.4816</v>
      </c>
      <c r="F128" s="34" t="n">
        <f aca="false">F12+F20</f>
        <v>10329.04704</v>
      </c>
      <c r="G128" s="34" t="n">
        <f aca="false">G12+G20</f>
        <v>10393.603584</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8806.54666009953</v>
      </c>
      <c r="D131" s="36" t="n">
        <f aca="false">D109+D128+D108+D111-D125-D107+D129+D130</f>
        <v>12421.8669377595</v>
      </c>
      <c r="E131" s="36" t="n">
        <f aca="false">E109+E128+E108+E111-E125-E107+E129+E130</f>
        <v>14139.4059321934</v>
      </c>
      <c r="F131" s="36" t="n">
        <f aca="false">F109+F128+F108+F111-F125-F107+F129+F130</f>
        <v>17806.3341242629</v>
      </c>
      <c r="G131" s="36" t="n">
        <f aca="false">G109+G128+G108+G111-G125-G107+G129+G130</f>
        <v>19396.0179801289</v>
      </c>
    </row>
    <row r="132" customFormat="false" ht="15" hidden="false" customHeight="true" outlineLevel="0" collapsed="false">
      <c r="A132" s="10" t="s">
        <v>611</v>
      </c>
      <c r="C132" s="36" t="n">
        <f aca="false">C109+C108-(C125-C111*C126)-C107+C129+C130</f>
        <v>-1899.02116962478</v>
      </c>
      <c r="D132" s="36" t="n">
        <f aca="false">D109+D108-(D125-D111*D126)-D107+D129+D130</f>
        <v>861.030787746081</v>
      </c>
      <c r="E132" s="36" t="n">
        <f aca="false">E109+E108-(E125-E111*E126)-E107+E129+E130</f>
        <v>1555.79603085299</v>
      </c>
      <c r="F132" s="36" t="n">
        <f aca="false">F109+F108-(F125-F111*F126)-F107+F129+F130</f>
        <v>4363.2301321674</v>
      </c>
      <c r="G132" s="36" t="n">
        <f aca="false">G109+G108-(G125-G111*G126)-G107+G129+G130</f>
        <v>5551.87470935408</v>
      </c>
    </row>
    <row r="133" customFormat="false" ht="15" hidden="false" customHeight="true" outlineLevel="0" collapsed="false">
      <c r="A133" s="13" t="s">
        <v>612</v>
      </c>
      <c r="C133" s="16" t="n">
        <f aca="false">IFERROR(C132/C105,0)</f>
        <v>-0.0367116681415244</v>
      </c>
      <c r="D133" s="16" t="n">
        <f aca="false">IFERROR(D132/D105,0)</f>
        <v>0.0104085495102427</v>
      </c>
      <c r="E133" s="16" t="n">
        <f aca="false">IFERROR(E132/E105,0)</f>
        <v>0.0144815673283164</v>
      </c>
      <c r="F133" s="16" t="n">
        <f aca="false">IFERROR(F132/F105,0)</f>
        <v>0.0338955506183601</v>
      </c>
      <c r="G133" s="16" t="n">
        <f aca="false">IFERROR(G132/G105,0)</f>
        <v>0.037579281069377</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138231.5466601</v>
      </c>
      <c r="E136" s="34" t="n">
        <f aca="false">D141</f>
        <v>150653.413597859</v>
      </c>
      <c r="F136" s="34" t="n">
        <f aca="false">E141</f>
        <v>164792.819530052</v>
      </c>
      <c r="G136" s="34" t="n">
        <f aca="false">F141</f>
        <v>182599.153654315</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6580.54666009953</v>
      </c>
      <c r="D138" s="34" t="n">
        <f aca="false">D131</f>
        <v>12421.8669377595</v>
      </c>
      <c r="E138" s="34" t="n">
        <f aca="false">E131</f>
        <v>14139.4059321934</v>
      </c>
      <c r="F138" s="34" t="n">
        <f aca="false">F131</f>
        <v>17806.3341242629</v>
      </c>
      <c r="G138" s="34" t="n">
        <f aca="false">G131</f>
        <v>19396.0179801289</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138231.5466601</v>
      </c>
      <c r="D141" s="36" t="n">
        <f aca="false">D136+D138+D139+D140</f>
        <v>150653.413597859</v>
      </c>
      <c r="E141" s="36" t="n">
        <f aca="false">E136+E138+E139+E140</f>
        <v>164792.819530052</v>
      </c>
      <c r="F141" s="36" t="n">
        <f aca="false">F136+F138+F139+F140</f>
        <v>182599.153654315</v>
      </c>
      <c r="G141" s="36" t="n">
        <f aca="false">G136+G138+G139+G140</f>
        <v>201995.171634444</v>
      </c>
    </row>
    <row r="142" customFormat="false" ht="15" hidden="false" customHeight="true" outlineLevel="0" collapsed="false">
      <c r="A142" s="13" t="s">
        <v>622</v>
      </c>
      <c r="C142" s="34" t="n">
        <f aca="false">MIN(C136-C137,C141)</f>
        <v>131651</v>
      </c>
      <c r="D142" s="34" t="n">
        <f aca="false">MIN(D136-D137,D141)</f>
        <v>138231.5466601</v>
      </c>
      <c r="E142" s="34" t="n">
        <f aca="false">MIN(E136-E137,E141)</f>
        <v>150653.413597859</v>
      </c>
      <c r="F142" s="34" t="n">
        <f aca="false">MIN(F136-F137,F141)</f>
        <v>164792.819530052</v>
      </c>
      <c r="G142" s="34" t="n">
        <f aca="false">MIN(G136-G137,G141)</f>
        <v>182599.153654315</v>
      </c>
    </row>
    <row r="143" customFormat="false" ht="15" hidden="false" customHeight="true" outlineLevel="0" collapsed="false">
      <c r="A143" s="13" t="s">
        <v>623</v>
      </c>
      <c r="C143" s="34" t="n">
        <f aca="false">C142-Inputs!$B$29</f>
        <v>126651</v>
      </c>
      <c r="D143" s="34" t="n">
        <f aca="false">D142-Inputs!$B$29</f>
        <v>133231.5466601</v>
      </c>
      <c r="E143" s="34" t="n">
        <f aca="false">E142-Inputs!$B$29</f>
        <v>145653.413597859</v>
      </c>
      <c r="F143" s="34" t="n">
        <f aca="false">F142-Inputs!$B$29</f>
        <v>159792.819530052</v>
      </c>
      <c r="G143" s="34" t="n">
        <f aca="false">G142-Inputs!$B$29</f>
        <v>177599.153654315</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138231.5466601</v>
      </c>
      <c r="D156" s="34" t="n">
        <f aca="false">D141+SUM($C153:D153)+SUM($C154:D154)-SUM($C155:D155)</f>
        <v>150653.413597859</v>
      </c>
      <c r="E156" s="34" t="n">
        <f aca="false">E141+SUM($C153:E153)+SUM($C154:E154)-SUM($C155:E155)</f>
        <v>164792.819530052</v>
      </c>
      <c r="F156" s="34" t="n">
        <f aca="false">F141+SUM($C153:F153)+SUM($C154:F154)-SUM($C155:F155)</f>
        <v>182599.153654315</v>
      </c>
      <c r="G156" s="34" t="n">
        <f aca="false">G141+SUM($C153:G153)+SUM($C154:G154)-SUM($C155:G155)</f>
        <v>201995.171634444</v>
      </c>
    </row>
    <row r="157" customFormat="false" ht="15" hidden="false" customHeight="true" outlineLevel="0" collapsed="false">
      <c r="A157" s="13" t="s">
        <v>637</v>
      </c>
      <c r="C157" s="34" t="n">
        <f aca="false">MIN(C136-C137+0+C153,C156)</f>
        <v>131651</v>
      </c>
      <c r="D157" s="34" t="n">
        <f aca="false">MIN(D136-D137+SUM($C153:C153)+SUM($C154:C154)-SUM($C155:C155)+D153,D156)</f>
        <v>138231.5466601</v>
      </c>
      <c r="E157" s="34" t="n">
        <f aca="false">MIN(E136-E137+SUM($C153:D153)+SUM($C154:D154)-SUM($C155:D155)+E153,E156)</f>
        <v>150653.413597859</v>
      </c>
      <c r="F157" s="34" t="n">
        <f aca="false">MIN(F136-F137+SUM($C153:E153)+SUM($C154:E154)-SUM($C155:E155)+F153,F156)</f>
        <v>164792.819530052</v>
      </c>
      <c r="G157" s="34" t="n">
        <f aca="false">MIN(G136-G137+SUM($C153:F153)+SUM($C154:F154)-SUM($C155:F155)+G153,G156)</f>
        <v>182599.153654315</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Inputs!$B$19+Inputs!$B$89</f>
        <v>0.12</v>
      </c>
      <c r="G162" s="16" t="n">
        <f aca="false">Inputs!$B$19+Inputs!$B$89</f>
        <v>0.12</v>
      </c>
    </row>
    <row r="163" customFormat="false" ht="15" hidden="false" customHeight="true" outlineLevel="0" collapsed="false">
      <c r="A163" s="13" t="s">
        <v>642</v>
      </c>
      <c r="F163" s="34" t="n">
        <f aca="false">G53*(1-G70)</f>
        <v>10560.4042493215</v>
      </c>
      <c r="G163" s="34" t="n">
        <f aca="false">G109*(1-G126)</f>
        <v>8438.00743255408</v>
      </c>
    </row>
    <row r="164" customFormat="false" ht="15" hidden="false" customHeight="true" outlineLevel="0" collapsed="false">
      <c r="A164" s="13" t="s">
        <v>643</v>
      </c>
      <c r="F164" s="53" t="n">
        <f aca="false">Inputs!$B$87</f>
        <v>20</v>
      </c>
      <c r="G164" s="53" t="n">
        <f aca="false">Inputs!$B$87</f>
        <v>20</v>
      </c>
    </row>
    <row r="165" customFormat="false" ht="15" hidden="false" customHeight="true" outlineLevel="0" collapsed="false">
      <c r="A165" s="13" t="s">
        <v>644</v>
      </c>
      <c r="F165" s="34" t="n">
        <f aca="false">F163*F164</f>
        <v>211208.084986429</v>
      </c>
      <c r="G165" s="34" t="n">
        <f aca="false">G163*G164</f>
        <v>168760.148651082</v>
      </c>
    </row>
    <row r="166" customFormat="false" ht="15" hidden="false" customHeight="true" outlineLevel="0" collapsed="false">
      <c r="A166" s="13" t="s">
        <v>645</v>
      </c>
      <c r="F166" s="34" t="n">
        <f aca="false">F165*$G$21</f>
        <v>134226.55631414</v>
      </c>
      <c r="G166" s="34" t="n">
        <f aca="false">G165*$G$21</f>
        <v>107250.125382049</v>
      </c>
    </row>
    <row r="167" customFormat="false" ht="15" hidden="false" customHeight="true" outlineLevel="0" collapsed="false">
      <c r="A167" s="13" t="s">
        <v>646</v>
      </c>
      <c r="F167" s="34" t="n">
        <f aca="false">SUMPRODUCT(D76:G76,$D$21:$G$21)-F162*SUMPRODUCT(D81:G81,$D$21:$G$21)</f>
        <v>11237.7941274737</v>
      </c>
      <c r="G167" s="34" t="n">
        <f aca="false">SUMPRODUCT(D132:G132,$D$21:$G$21)-G162*SUMPRODUCT(D137:G137,$D$21:$G$21)</f>
        <v>8643.02633114731</v>
      </c>
    </row>
    <row r="168" customFormat="false" ht="15" hidden="false" customHeight="true" outlineLevel="0" collapsed="false">
      <c r="A168" s="13" t="s">
        <v>647</v>
      </c>
      <c r="F168" s="34" t="n">
        <f aca="false">F166+F167</f>
        <v>145464.350441613</v>
      </c>
      <c r="G168" s="34" t="n">
        <f aca="false">G166+G167</f>
        <v>115893.151713196</v>
      </c>
    </row>
    <row r="169" customFormat="false" ht="15" hidden="false" customHeight="true" outlineLevel="0" collapsed="false">
      <c r="A169" s="13" t="s">
        <v>648</v>
      </c>
      <c r="F169" s="34" t="n">
        <f aca="false">(G76-G74)*Inputs!$B$88*$G$21</f>
        <v>87515.3451329549</v>
      </c>
      <c r="G169" s="34" t="n">
        <f aca="false">(G132-G130)*Inputs!$B$88*$G$21</f>
        <v>63509.7014429955</v>
      </c>
    </row>
    <row r="170" customFormat="false" ht="15" hidden="false" customHeight="true" outlineLevel="0" collapsed="false">
      <c r="A170" s="13" t="s">
        <v>649</v>
      </c>
      <c r="F170" s="34" t="n">
        <f aca="false">F167+F169</f>
        <v>98753.1392604286</v>
      </c>
      <c r="G170" s="34" t="n">
        <f aca="false">G167+G169</f>
        <v>72152.7277741428</v>
      </c>
    </row>
    <row r="171" customFormat="false" ht="15" hidden="false" customHeight="true" outlineLevel="0" collapsed="false">
      <c r="A171" s="13" t="s">
        <v>650</v>
      </c>
      <c r="F171" s="34" t="n">
        <f aca="false">F168*Inputs!$B$21+F170*(1-Inputs!$B$21)</f>
        <v>122108.744851021</v>
      </c>
      <c r="G171" s="34" t="n">
        <f aca="false">G168*Inputs!$B$21+G170*(1-Inputs!$B$21)</f>
        <v>94022.9397436696</v>
      </c>
    </row>
    <row r="172" customFormat="false" ht="15" hidden="false" customHeight="true" outlineLevel="0" collapsed="false">
      <c r="A172" s="13" t="s">
        <v>651</v>
      </c>
      <c r="F172" s="16" t="n">
        <f aca="false">IFERROR(F166/F168,0)</f>
        <v>0.922745373052868</v>
      </c>
      <c r="G172" s="16" t="n">
        <f aca="false">IFERROR(G166/G168,0)</f>
        <v>0.92542245850267</v>
      </c>
    </row>
    <row r="173" customFormat="false" ht="15" hidden="false" customHeight="true" outlineLevel="0" collapsed="false">
      <c r="A173" s="13" t="s">
        <v>652</v>
      </c>
      <c r="F173" s="16" t="n">
        <f aca="false">IFERROR(F169/F170,0)</f>
        <v>0.886203170738322</v>
      </c>
      <c r="G173" s="16" t="n">
        <f aca="false">IFERROR(G169/G170,0)</f>
        <v>0.880212064078821</v>
      </c>
    </row>
    <row r="174" customFormat="false" ht="15" hidden="false" customHeight="true" outlineLevel="0" collapsed="false">
      <c r="A174" s="13" t="s">
        <v>653</v>
      </c>
      <c r="F174" s="34" t="n">
        <f aca="false">C85</f>
        <v>138231.5466601</v>
      </c>
      <c r="G174" s="34" t="n">
        <f aca="false">C141</f>
        <v>138231.5466601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260340.291511121</v>
      </c>
      <c r="G176" s="35" t="n">
        <f aca="false">G171+G174+G175</f>
        <v>232254.486403769</v>
      </c>
    </row>
    <row r="177" customFormat="false" ht="15" hidden="false" customHeight="true" outlineLevel="0" collapsed="false">
      <c r="A177" s="13" t="s">
        <v>656</v>
      </c>
      <c r="F177" s="34" t="n">
        <f aca="false">IF(F182="OK",F176,"unresolved")</f>
        <v>260340.291511121</v>
      </c>
      <c r="G177" s="34" t="n">
        <f aca="false">IF(G182="OK",G176,"unresolved")</f>
        <v>232254.486403769</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14.5419892454195</v>
      </c>
      <c r="G179" s="25" t="n">
        <f aca="false">IF(G182="OK",G176/G178,"n/a")</f>
        <v>12.9731829978372</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No raise needed</v>
      </c>
      <c r="G183" s="29" t="str">
        <f aca="false">IF(G182&lt;&gt;"OK",G182,IF(G180&gt;0,"Raise needed by 2030",IF(ISNUMBER(G181),"Cash-negative in 2030; runway "&amp;TEXT(G181,"0.0")&amp;" yrs","No raise needed")))</f>
        <v>No raise needed</v>
      </c>
    </row>
    <row r="184" customFormat="false" ht="15" hidden="false" customHeight="true" outlineLevel="0" collapsed="false">
      <c r="A184" s="13" t="s">
        <v>663</v>
      </c>
      <c r="F184" s="25" t="n">
        <f aca="false">IF(NOT(ISNUMBER(F179)),"unresolved",IF(F180=0,F179,(F176+F180/(1+F162)^IF(ISNUMBER(G93),MAX(0,G93-2027),0))/(F178+(F180/(1-Inputs!$B$31))/(F179*(1+F162)^IF(ISNUMBER(G93),MAX(0,G93-2027),0)*(1-0)))))</f>
        <v>14.5419892454195</v>
      </c>
      <c r="G184" s="25" t="n">
        <f aca="false">IF(NOT(ISNUMBER(G179)),"unresolved",IF(G180=0,G179,(G176+G180/(1+G162)^IF(ISNUMBER(G149),MAX(0,G149-2027),0))/(G178+(G180/(1-Inputs!$B$31))/(G179*(1+G162)^IF(ISNUMBER(G149),MAX(0,G149-2027),0)*(1-0)))))</f>
        <v>12.9731829978372</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14.5419892454195</v>
      </c>
      <c r="G185" s="25" t="n">
        <f aca="false">IF(NOT(ISNUMBER(G179)),"unresolved",IF(G180=0,G179,(G176+G180/(1+G162)^IF(ISNUMBER(G149),MAX(0,G149-2027),0))/(G178+(G180/(1-Inputs!$B$31))/(G179*(1+G162)^IF(ISNUMBER(G149),MAX(0,G149-2027),0)*(1-Inputs!$B$30)))))</f>
        <v>12.9731829978372</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14.5419892454195</v>
      </c>
      <c r="G186" s="25" t="n">
        <f aca="false">IF(NOT(ISNUMBER(G179)),"unresolved",IF(G180=0,G179,(G176+G180/(1+G162)^IF(ISNUMBER(G149),MAX(0,G149-2027),0))/(G178+(G180/(1-Inputs!$B$31))/(G179*(1+G162)^IF(ISNUMBER(G149),MAX(0,G149-2027),0)*(1-0.3)))))</f>
        <v>12.9731829978372</v>
      </c>
    </row>
    <row r="187" customFormat="false" ht="15" hidden="false" customHeight="true" outlineLevel="0" collapsed="false">
      <c r="A187" s="13" t="s">
        <v>666</v>
      </c>
      <c r="F187" s="25" t="n">
        <f aca="false">F185</f>
        <v>14.5419892454195</v>
      </c>
      <c r="G187" s="25" t="n">
        <f aca="false">G185</f>
        <v>12.9731829978372</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n">
        <f aca="false">IF(ISNUMBER(F187),F187/(1+Inputs!$B$25)^F188,"unresolved")</f>
        <v>14.5419892454195</v>
      </c>
      <c r="G189" s="12" t="n">
        <f aca="false">IF(ISNUMBER(G187),G187/(1+Inputs!$B$25)^G188,"unresolved")</f>
        <v>12.9731829978372</v>
      </c>
    </row>
    <row r="190" customFormat="false" ht="15" hidden="false" customHeight="true" outlineLevel="0" collapsed="false">
      <c r="A190" s="13" t="s">
        <v>669</v>
      </c>
      <c r="F190" s="25" t="n">
        <f aca="false">IF(F180=0,F189,"unresolved")</f>
        <v>14.5419892454195</v>
      </c>
      <c r="G190" s="25" t="n">
        <f aca="false">IF(G180=0,G189,"unresolved")</f>
        <v>12.9731829978372</v>
      </c>
    </row>
    <row r="191" customFormat="false" ht="15" hidden="false" customHeight="true" outlineLevel="0" collapsed="false">
      <c r="A191" s="13" t="s">
        <v>670</v>
      </c>
      <c r="F191" s="34" t="n">
        <f aca="false">IF(ISNUMBER(F179),F176+F180/(1+F162)^IF(ISNUMBER(G93),MAX(0,G93-2027),0),"unresolved")</f>
        <v>260340.291511121</v>
      </c>
      <c r="G191" s="34" t="n">
        <f aca="false">IF(ISNUMBER(G179),G176+G180/(1+G162)^IF(ISNUMBER(G149),MAX(0,G149-2027),0),"unresolved")</f>
        <v>232254.486403769</v>
      </c>
    </row>
    <row r="192" customFormat="false" ht="15" hidden="false" customHeight="true" outlineLevel="0" collapsed="false">
      <c r="A192" s="13" t="s">
        <v>671</v>
      </c>
      <c r="F192" s="28" t="n">
        <f aca="false">IFERROR(F191/D49,"n/a")</f>
        <v>3.14554365516645</v>
      </c>
      <c r="G192" s="28" t="n">
        <f aca="false">IFERROR(G191/D105,"n/a")</f>
        <v>2.8076026491895</v>
      </c>
    </row>
    <row r="193" customFormat="false" ht="15" hidden="false" customHeight="true" outlineLevel="0" collapsed="false">
      <c r="A193" s="13" t="s">
        <v>672</v>
      </c>
      <c r="F193" s="25" t="n">
        <f aca="false">(F168+F174)/F178</f>
        <v>15.8465778027545</v>
      </c>
      <c r="G193" s="25" t="n">
        <f aca="false">(G168+G174)/G178</f>
        <v>14.1948010017577</v>
      </c>
    </row>
    <row r="194" customFormat="false" ht="15" hidden="false" customHeight="true" outlineLevel="0" collapsed="false">
      <c r="A194" s="13" t="s">
        <v>673</v>
      </c>
      <c r="F194" s="25" t="n">
        <f aca="false">(F170+F174)/F178</f>
        <v>13.2374006880846</v>
      </c>
      <c r="G194" s="25" t="n">
        <f aca="false">(G170+G174)/G178</f>
        <v>11.7515649939167</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678</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Historicals!F35+(Inputs!$B$5+Inputs!$C$60)</f>
        <v>54228</v>
      </c>
      <c r="D5" s="34" t="n">
        <f aca="false">C5*(1+Inputs!$C$62)</f>
        <v>108456</v>
      </c>
      <c r="E5" s="34" t="n">
        <f aca="false">D5*(1+Inputs!$C$63)</f>
        <v>168106.8</v>
      </c>
      <c r="F5" s="34" t="n">
        <f aca="false">E5*(1+Inputs!$C$64)</f>
        <v>226944.18</v>
      </c>
      <c r="G5" s="34" t="n">
        <f aca="false">F5*(1+Inputs!$C$65)</f>
        <v>283680.225</v>
      </c>
    </row>
    <row r="6" customFormat="false" ht="15" hidden="false" customHeight="true" outlineLevel="0" collapsed="false">
      <c r="A6" s="13" t="s">
        <v>551</v>
      </c>
      <c r="C6" s="16" t="n">
        <f aca="false">IFERROR(C5/B5-1,0)</f>
        <v>10.8272628135224</v>
      </c>
      <c r="D6" s="16" t="n">
        <f aca="false">IFERROR(D5/C5-1,0)</f>
        <v>1</v>
      </c>
      <c r="E6" s="16" t="n">
        <f aca="false">IFERROR(E5/D5-1,0)</f>
        <v>0.55</v>
      </c>
      <c r="F6" s="16" t="n">
        <f aca="false">IFERROR(F5/E5-1,0)</f>
        <v>0.35</v>
      </c>
      <c r="G6" s="16" t="n">
        <f aca="false">IFERROR(G5/F5-1,0)</f>
        <v>0.25</v>
      </c>
    </row>
    <row r="7" customFormat="false" ht="15" hidden="false" customHeight="true" outlineLevel="0" collapsed="false">
      <c r="A7" s="13" t="s">
        <v>552</v>
      </c>
      <c r="B7" s="41" t="n">
        <f aca="false">Historicals!D51</f>
        <v>789</v>
      </c>
      <c r="C7" s="34" t="n">
        <f aca="false">Historicals!F51+(Inputs!$B$5+Inputs!$C$60)*Historicals!F51/Historicals!F35</f>
        <v>10728.3934667813</v>
      </c>
      <c r="D7" s="34" t="n">
        <f aca="false">D5*Inputs!$C$61</f>
        <v>21691.2</v>
      </c>
      <c r="E7" s="34" t="n">
        <f aca="false">E5*Inputs!$C$61</f>
        <v>33621.36</v>
      </c>
      <c r="F7" s="34" t="n">
        <f aca="false">F5*Inputs!$C$61</f>
        <v>45388.836</v>
      </c>
      <c r="G7" s="34" t="n">
        <f aca="false">G5*Inputs!$C$61</f>
        <v>56736.045</v>
      </c>
    </row>
    <row r="8" customFormat="false" ht="15" hidden="false" customHeight="true" outlineLevel="0" collapsed="false">
      <c r="A8" s="13" t="s">
        <v>553</v>
      </c>
      <c r="B8" s="34" t="n">
        <f aca="false">B5-B7</f>
        <v>3796</v>
      </c>
      <c r="C8" s="34" t="n">
        <f aca="false">C5-C7</f>
        <v>43499.6065332187</v>
      </c>
      <c r="D8" s="34" t="n">
        <f aca="false">D5-D7</f>
        <v>86764.8</v>
      </c>
      <c r="E8" s="34" t="n">
        <f aca="false">E5-E7</f>
        <v>134485.44</v>
      </c>
      <c r="F8" s="34" t="n">
        <f aca="false">F5-F7</f>
        <v>181555.344</v>
      </c>
      <c r="G8" s="34" t="n">
        <f aca="false">G5-G7</f>
        <v>226944.18</v>
      </c>
    </row>
    <row r="10" customFormat="false" ht="15" hidden="false" customHeight="true" outlineLevel="0" collapsed="false">
      <c r="A10" s="13" t="s">
        <v>250</v>
      </c>
      <c r="B10" s="41" t="n">
        <f aca="false">Historicals!D36</f>
        <v>7326</v>
      </c>
      <c r="C10" s="34" t="n">
        <f aca="false">Historicals!F36+(Inputs!$B$5+Inputs!$C$60)*Inputs!$C$66</f>
        <v>26018.9</v>
      </c>
      <c r="D10" s="34" t="n">
        <f aca="false">C10*(1+Inputs!$C$67)</f>
        <v>44232.13</v>
      </c>
      <c r="E10" s="34" t="n">
        <f aca="false">D10*(1+Inputs!$C$68)</f>
        <v>64136.5885</v>
      </c>
      <c r="F10" s="34" t="n">
        <f aca="false">E10*(1+Inputs!$C$69)</f>
        <v>83377.56505</v>
      </c>
      <c r="G10" s="34" t="n">
        <f aca="false">F10*(1+Inputs!$C$70)</f>
        <v>100053.07806</v>
      </c>
    </row>
    <row r="11" customFormat="false" ht="15" hidden="false" customHeight="true" outlineLevel="0" collapsed="false">
      <c r="A11" s="13" t="s">
        <v>251</v>
      </c>
      <c r="B11" s="41" t="n">
        <f aca="false">Historicals!D37</f>
        <v>1839</v>
      </c>
      <c r="C11" s="34" t="n">
        <f aca="false">Historicals!F37+(Inputs!$B$5+Inputs!$C$60)*Historicals!G24</f>
        <v>9249.6455214193</v>
      </c>
      <c r="D11" s="34" t="n">
        <f aca="false">D5*Inputs!$C$71</f>
        <v>15183.84</v>
      </c>
      <c r="E11" s="34" t="n">
        <f aca="false">E5*Inputs!$C$72</f>
        <v>21853.884</v>
      </c>
      <c r="F11" s="34" t="n">
        <f aca="false">F5*Inputs!$C$73</f>
        <v>27233.3016</v>
      </c>
      <c r="G11" s="34" t="n">
        <f aca="false">G5*Inputs!$C$74</f>
        <v>31204.82475</v>
      </c>
    </row>
    <row r="12" customFormat="false" ht="15" hidden="false" customHeight="true" outlineLevel="0" collapsed="false">
      <c r="A12" s="13" t="s">
        <v>554</v>
      </c>
      <c r="B12" s="41" t="n">
        <f aca="false">Historicals!D49</f>
        <v>1158</v>
      </c>
      <c r="C12" s="34" t="n">
        <f aca="false">Historicals!F49+(Inputs!$B$5+Inputs!$C$60)*Historicals!G29</f>
        <v>6325.61981826049</v>
      </c>
      <c r="D12" s="34" t="n">
        <f aca="false">D5*Inputs!$C$75</f>
        <v>9761.04</v>
      </c>
      <c r="E12" s="34" t="n">
        <f aca="false">E5*Inputs!$C$76</f>
        <v>13448.544</v>
      </c>
      <c r="F12" s="34" t="n">
        <f aca="false">F5*Inputs!$C$77</f>
        <v>15886.0926</v>
      </c>
      <c r="G12" s="34" t="n">
        <f aca="false">G5*Inputs!$C$78</f>
        <v>17020.8135</v>
      </c>
    </row>
    <row r="13" customFormat="false" ht="15" hidden="false" customHeight="true" outlineLevel="0" collapsed="false">
      <c r="A13" s="13" t="s">
        <v>555</v>
      </c>
      <c r="B13" s="41" t="n">
        <f aca="false">Historicals!D39</f>
        <v>568</v>
      </c>
      <c r="C13" s="34" t="n">
        <f aca="false">Historicals!F39+(Inputs!$B$5+Inputs!$C$60)*Historicals!G25</f>
        <v>10178.486369537</v>
      </c>
      <c r="D13" s="34" t="n">
        <f aca="false">D5*Inputs!$C$79</f>
        <v>18437.52</v>
      </c>
      <c r="E13" s="34" t="n">
        <f aca="false">E5*Inputs!$C$80</f>
        <v>26897.088</v>
      </c>
      <c r="F13" s="34" t="n">
        <f aca="false">F5*Inputs!$C$81</f>
        <v>34041.627</v>
      </c>
      <c r="G13" s="34" t="n">
        <f aca="false">G5*Inputs!$C$82</f>
        <v>42552.03375</v>
      </c>
    </row>
    <row r="14" customFormat="false" ht="15" hidden="false" customHeight="true" outlineLevel="0" collapsed="false">
      <c r="A14" s="13" t="s">
        <v>556</v>
      </c>
      <c r="B14" s="41" t="n">
        <f aca="false">Historicals!D40</f>
        <v>1412</v>
      </c>
      <c r="C14" s="34" t="n">
        <f aca="false">Historicals!F40+(Inputs!$B$5+Inputs!$C$60)*Historicals!G26</f>
        <v>5099.39177845089</v>
      </c>
      <c r="D14" s="34" t="n">
        <f aca="false">D5*Inputs!$C$83</f>
        <v>8676.48</v>
      </c>
      <c r="E14" s="34" t="n">
        <f aca="false">E5*Inputs!$C$84</f>
        <v>11767.476</v>
      </c>
      <c r="F14" s="34" t="n">
        <f aca="false">F5*Inputs!$C$85</f>
        <v>13616.6508</v>
      </c>
      <c r="G14" s="34" t="n">
        <f aca="false">G5*Inputs!$C$86</f>
        <v>17020.8135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86529.97</v>
      </c>
      <c r="E16" s="36" t="n">
        <f aca="false">E10+E11+E13+E14+E15</f>
        <v>124655.0365</v>
      </c>
      <c r="F16" s="36" t="n">
        <f aca="false">F10+F11+F13+F14+F15</f>
        <v>158269.14445</v>
      </c>
      <c r="G16" s="36" t="n">
        <f aca="false">G10+G11+G13+G14+G15</f>
        <v>190830.75006</v>
      </c>
    </row>
    <row r="17" customFormat="false" ht="15" hidden="false" customHeight="true" outlineLevel="0" collapsed="false">
      <c r="A17" s="10" t="s">
        <v>558</v>
      </c>
      <c r="B17" s="35" t="n">
        <f aca="false">B5-B16</f>
        <v>-8060</v>
      </c>
      <c r="C17" s="35" t="n">
        <f aca="false">C5-C16</f>
        <v>1681.57633059282</v>
      </c>
      <c r="D17" s="35" t="n">
        <f aca="false">D5-D16</f>
        <v>21926.03</v>
      </c>
      <c r="E17" s="35" t="n">
        <f aca="false">E5-E16</f>
        <v>43451.7635</v>
      </c>
      <c r="F17" s="35" t="n">
        <f aca="false">F5-F16</f>
        <v>68675.03555</v>
      </c>
      <c r="G17" s="35" t="n">
        <f aca="false">G5-G16</f>
        <v>92849.4749400001</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0.202165209854688</v>
      </c>
      <c r="E18" s="16" t="n">
        <f aca="false">IFERROR(E17/E5,0)</f>
        <v>0.258477131799546</v>
      </c>
      <c r="F18" s="16" t="n">
        <f aca="false">IFERROR(F17/F5,0)</f>
        <v>0.302607608399563</v>
      </c>
      <c r="G18" s="16" t="n">
        <f aca="false">IFERROR(G17/G5,0)</f>
        <v>0.327303304063581</v>
      </c>
    </row>
    <row r="19" customFormat="false" ht="15" hidden="false" customHeight="true" outlineLevel="0" collapsed="false">
      <c r="A19" s="13" t="s">
        <v>560</v>
      </c>
      <c r="B19" s="16" t="n">
        <f aca="false">IFERROR(B10/B5,0)</f>
        <v>1.59781897491821</v>
      </c>
      <c r="C19" s="16" t="n">
        <f aca="false">IFERROR(C10/C5,0)</f>
        <v>0.479805635465073</v>
      </c>
      <c r="D19" s="16" t="n">
        <f aca="false">IFERROR(D10/D5,0)</f>
        <v>0.407834790145312</v>
      </c>
      <c r="E19" s="16" t="n">
        <f aca="false">IFERROR(E10/E5,0)</f>
        <v>0.381522868200454</v>
      </c>
      <c r="F19" s="16" t="n">
        <f aca="false">IFERROR(F10/F5,0)</f>
        <v>0.367392391600437</v>
      </c>
      <c r="G19" s="16" t="n">
        <f aca="false">IFERROR(G10/G5,0)</f>
        <v>0.352696695936419</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1/(1+Inputs!$B$19+Inputs!$C$89)^1</f>
        <v>0.892857142857143</v>
      </c>
      <c r="E21" s="52" t="n">
        <f aca="false">1/(1+Inputs!$B$19+Inputs!$C$89)^2</f>
        <v>0.79719387755102</v>
      </c>
      <c r="F21" s="52" t="n">
        <f aca="false">1/(1+Inputs!$B$19+Inputs!$C$89)^3</f>
        <v>0.711780247813411</v>
      </c>
      <c r="G21" s="52" t="n">
        <f aca="false">1/(1+Inputs!$B$19+Inputs!$C$89)^4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2169.12</v>
      </c>
      <c r="E25" s="34" t="n">
        <f aca="false">E5*E24</f>
        <v>8405.34</v>
      </c>
      <c r="F25" s="34" t="n">
        <f aca="false">F5*F24</f>
        <v>22694.418</v>
      </c>
      <c r="G25" s="34" t="n">
        <f aca="false">G5*G24</f>
        <v>42552.03375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17352.96</v>
      </c>
      <c r="E27" s="34" t="n">
        <f aca="false">E25*E26</f>
        <v>67242.72</v>
      </c>
      <c r="F27" s="34" t="n">
        <f aca="false">F25*F26</f>
        <v>181555.344</v>
      </c>
      <c r="G27" s="34" t="n">
        <f aca="false">G25*G26</f>
        <v>340416.27</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2602.944</v>
      </c>
      <c r="E29" s="36" t="n">
        <f aca="false">E27*E28</f>
        <v>10086.408</v>
      </c>
      <c r="F29" s="36" t="n">
        <f aca="false">F27*F28</f>
        <v>27233.3016</v>
      </c>
      <c r="G29" s="36" t="n">
        <f aca="false">G27*G28</f>
        <v>51062.4405</v>
      </c>
    </row>
    <row r="30" customFormat="false" ht="15" hidden="false" customHeight="true" outlineLevel="0" collapsed="false">
      <c r="A30" s="13" t="s">
        <v>570</v>
      </c>
      <c r="C30" s="34" t="n">
        <f aca="false">C25*Inputs!$C$103</f>
        <v>0</v>
      </c>
      <c r="D30" s="34" t="n">
        <f aca="false">D25*Inputs!$C$103</f>
        <v>650.736</v>
      </c>
      <c r="E30" s="34" t="n">
        <f aca="false">E25*Inputs!$C$103</f>
        <v>2521.602</v>
      </c>
      <c r="F30" s="34" t="n">
        <f aca="false">F25*Inputs!$C$103</f>
        <v>6808.3254</v>
      </c>
      <c r="G30" s="34" t="n">
        <f aca="false">G25*Inputs!$C$103</f>
        <v>12765.610125</v>
      </c>
    </row>
    <row r="31" customFormat="false" ht="15" hidden="false" customHeight="true" outlineLevel="0" collapsed="false">
      <c r="A31" s="13" t="s">
        <v>571</v>
      </c>
      <c r="C31" s="34" t="n">
        <f aca="false">C29-C30</f>
        <v>0</v>
      </c>
      <c r="D31" s="34" t="n">
        <f aca="false">D29-D30</f>
        <v>1952.208</v>
      </c>
      <c r="E31" s="34" t="n">
        <f aca="false">E29-E30</f>
        <v>7564.806</v>
      </c>
      <c r="F31" s="34" t="n">
        <f aca="false">F29-F30</f>
        <v>20424.9762</v>
      </c>
      <c r="G31" s="34" t="n">
        <f aca="false">G29-G30</f>
        <v>38296.830375</v>
      </c>
    </row>
    <row r="32" customFormat="false" ht="15" hidden="false" customHeight="true" outlineLevel="0" collapsed="false">
      <c r="A32" s="13" t="s">
        <v>572</v>
      </c>
      <c r="C32" s="34" t="n">
        <f aca="false">C29*Inputs!$C$104</f>
        <v>0</v>
      </c>
      <c r="D32" s="34" t="n">
        <f aca="false">D29*Inputs!$C$104</f>
        <v>520.5888</v>
      </c>
      <c r="E32" s="34" t="n">
        <f aca="false">E29*Inputs!$C$104</f>
        <v>2017.2816</v>
      </c>
      <c r="F32" s="34" t="n">
        <f aca="false">F29*Inputs!$C$104</f>
        <v>5446.66032</v>
      </c>
      <c r="G32" s="34" t="n">
        <f aca="false">G29*Inputs!$C$104</f>
        <v>10212.4881</v>
      </c>
    </row>
    <row r="33" customFormat="false" ht="15" hidden="false" customHeight="true" outlineLevel="0" collapsed="false">
      <c r="A33" s="13" t="s">
        <v>573</v>
      </c>
      <c r="C33" s="34" t="n">
        <f aca="false">C29*Inputs!$C$105</f>
        <v>0</v>
      </c>
      <c r="D33" s="34" t="n">
        <f aca="false">D29*Inputs!$C$105</f>
        <v>390.4416</v>
      </c>
      <c r="E33" s="34" t="n">
        <f aca="false">E29*Inputs!$C$105</f>
        <v>1512.9612</v>
      </c>
      <c r="F33" s="34" t="n">
        <f aca="false">F29*Inputs!$C$105</f>
        <v>4084.99524</v>
      </c>
      <c r="G33" s="34" t="n">
        <f aca="false">G29*Inputs!$C$105</f>
        <v>7659.366075</v>
      </c>
    </row>
    <row r="34" customFormat="false" ht="15" hidden="false" customHeight="true" outlineLevel="0" collapsed="false">
      <c r="A34" s="13" t="s">
        <v>574</v>
      </c>
      <c r="C34" s="34" t="n">
        <f aca="false">C29*Inputs!$C$106</f>
        <v>0</v>
      </c>
      <c r="D34" s="34" t="n">
        <f aca="false">D29*Inputs!$C$106</f>
        <v>260.2944</v>
      </c>
      <c r="E34" s="34" t="n">
        <f aca="false">E29*Inputs!$C$106</f>
        <v>1008.6408</v>
      </c>
      <c r="F34" s="34" t="n">
        <f aca="false">F29*Inputs!$C$106</f>
        <v>2723.33016</v>
      </c>
      <c r="G34" s="34" t="n">
        <f aca="false">G29*Inputs!$C$106</f>
        <v>5106.24405</v>
      </c>
    </row>
    <row r="35" customFormat="false" ht="15" hidden="false" customHeight="true" outlineLevel="0" collapsed="false">
      <c r="A35" s="10" t="s">
        <v>575</v>
      </c>
      <c r="C35" s="35" t="n">
        <f aca="false">C29-C30-C32-C33-C34</f>
        <v>0</v>
      </c>
      <c r="D35" s="35" t="n">
        <f aca="false">D29-D30-D32-D33-D34</f>
        <v>780.8832</v>
      </c>
      <c r="E35" s="35" t="n">
        <f aca="false">E29-E30-E32-E33-E34</f>
        <v>3025.9224</v>
      </c>
      <c r="F35" s="35" t="n">
        <f aca="false">F29-F30-F32-F33-F34</f>
        <v>8169.99048</v>
      </c>
      <c r="G35" s="35" t="n">
        <f aca="false">G29-G30-G32-G33-G34</f>
        <v>15318.73215</v>
      </c>
    </row>
    <row r="36" customFormat="false" ht="15" hidden="false" customHeight="true" outlineLevel="0" collapsed="false">
      <c r="A36" s="13" t="s">
        <v>91</v>
      </c>
      <c r="C36" s="54" t="n">
        <f aca="false">IFERROR(C27/Inputs!$B$27,0)</f>
        <v>0</v>
      </c>
      <c r="D36" s="54" t="n">
        <f aca="false">IFERROR(D27/Inputs!$B$27,0)</f>
        <v>0.000433824</v>
      </c>
      <c r="E36" s="54" t="n">
        <f aca="false">IFERROR(E27/Inputs!$B$27,0)</f>
        <v>0.001681068</v>
      </c>
      <c r="F36" s="54" t="n">
        <f aca="false">IFERROR(F27/Inputs!$B$27,0)</f>
        <v>0.0045388836</v>
      </c>
      <c r="G36" s="54" t="n">
        <f aca="false">IFERROR(G27/Inputs!$B$27,0)</f>
        <v>0.00851040675</v>
      </c>
    </row>
    <row r="37" customFormat="false" ht="15" hidden="false" customHeight="true" outlineLevel="0" collapsed="false">
      <c r="A37" s="13" t="s">
        <v>576</v>
      </c>
      <c r="C37" s="34" t="n">
        <f aca="false">CHOOSE(Inputs!$B$35,C31*Inputs!B$55,C29*Inputs!$B$36,0)</f>
        <v>0</v>
      </c>
      <c r="D37" s="34" t="n">
        <f aca="false">CHOOSE(Inputs!$B$35,D31*Inputs!C$55,D29*Inputs!$B$36,0)</f>
        <v>78.08832</v>
      </c>
      <c r="E37" s="34" t="n">
        <f aca="false">CHOOSE(Inputs!$B$35,E31*Inputs!D$55,E29*Inputs!$B$36,0)</f>
        <v>378.2403</v>
      </c>
      <c r="F37" s="34" t="n">
        <f aca="false">CHOOSE(Inputs!$B$35,F31*Inputs!E$55,F29*Inputs!$B$36,0)</f>
        <v>1021.24881</v>
      </c>
      <c r="G37" s="34" t="n">
        <f aca="false">CHOOSE(Inputs!$B$35,G31*Inputs!F$55,G29*Inputs!$B$36,0)</f>
        <v>1914.84151875</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Inputs!$C$92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44232.13</v>
      </c>
      <c r="E44" s="34" t="n">
        <f aca="false">E10*Inputs!$B$39</f>
        <v>64136.5885</v>
      </c>
      <c r="F44" s="34" t="n">
        <f aca="false">F10*Inputs!$B$39</f>
        <v>83377.56505</v>
      </c>
      <c r="G44" s="34" t="n">
        <f aca="false">G10*Inputs!$B$39</f>
        <v>100053.07806</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108456</v>
      </c>
      <c r="E49" s="34" t="n">
        <f aca="false">E5</f>
        <v>168106.8</v>
      </c>
      <c r="F49" s="34" t="n">
        <f aca="false">F5</f>
        <v>226944.18</v>
      </c>
      <c r="G49" s="34" t="n">
        <f aca="false">G5</f>
        <v>283680.225</v>
      </c>
    </row>
    <row r="50" customFormat="false" ht="15" hidden="false" customHeight="true" outlineLevel="0" collapsed="false">
      <c r="A50" s="13" t="s">
        <v>558</v>
      </c>
      <c r="C50" s="34" t="n">
        <f aca="false">C17</f>
        <v>1681.57633059282</v>
      </c>
      <c r="D50" s="34" t="n">
        <f aca="false">D17</f>
        <v>21926.03</v>
      </c>
      <c r="E50" s="34" t="n">
        <f aca="false">E17</f>
        <v>43451.7635</v>
      </c>
      <c r="F50" s="34" t="n">
        <f aca="false">F17</f>
        <v>68675.03555</v>
      </c>
      <c r="G50" s="34" t="n">
        <f aca="false">G17</f>
        <v>92849.4749400001</v>
      </c>
    </row>
    <row r="51" customFormat="false" ht="15" hidden="false" customHeight="true" outlineLevel="0" collapsed="false">
      <c r="A51" s="13" t="s">
        <v>586</v>
      </c>
      <c r="C51" s="34" t="n">
        <f aca="false">C5*Inputs!B$55</f>
        <v>1626.84</v>
      </c>
      <c r="D51" s="34" t="n">
        <f aca="false">D5*Inputs!C$55</f>
        <v>4338.24</v>
      </c>
      <c r="E51" s="34" t="n">
        <f aca="false">E5*Inputs!D$55</f>
        <v>8405.34</v>
      </c>
      <c r="F51" s="34" t="n">
        <f aca="false">F5*Inputs!E$55</f>
        <v>11347.209</v>
      </c>
      <c r="G51" s="34" t="n">
        <f aca="false">G5*Inputs!F$55</f>
        <v>14184.01125</v>
      </c>
    </row>
    <row r="52" customFormat="false" ht="15" hidden="false" customHeight="true" outlineLevel="0" collapsed="false">
      <c r="A52" s="13" t="s">
        <v>587</v>
      </c>
      <c r="C52" s="33" t="n">
        <v>0</v>
      </c>
      <c r="D52" s="34" t="n">
        <f aca="false">SUMPRODUCT($D51:D51,--((4-COLUMN($D51:D51))&lt;Inputs!$B$32))/Inputs!$B$32</f>
        <v>867.648</v>
      </c>
      <c r="E52" s="34" t="n">
        <f aca="false">SUMPRODUCT($D51:E51,--((5-COLUMN($D51:E51))&lt;Inputs!$B$32))/Inputs!$B$32</f>
        <v>2548.716</v>
      </c>
      <c r="F52" s="34" t="n">
        <f aca="false">SUMPRODUCT($D51:F51,--((6-COLUMN($D51:F51))&lt;Inputs!$B$32))/Inputs!$B$32</f>
        <v>4818.1578</v>
      </c>
      <c r="G52" s="34" t="n">
        <f aca="false">SUMPRODUCT($D51:G51,--((7-COLUMN($D51:G51))&lt;Inputs!$B$32))/Inputs!$B$32</f>
        <v>7654.96005</v>
      </c>
    </row>
    <row r="53" customFormat="false" ht="15" hidden="false" customHeight="true" outlineLevel="0" collapsed="false">
      <c r="A53" s="10" t="s">
        <v>588</v>
      </c>
      <c r="C53" s="36" t="n">
        <f aca="false">C50-C52</f>
        <v>1681.57633059282</v>
      </c>
      <c r="D53" s="36" t="n">
        <f aca="false">D50-D52</f>
        <v>21058.382</v>
      </c>
      <c r="E53" s="36" t="n">
        <f aca="false">E50-E52</f>
        <v>40903.0475</v>
      </c>
      <c r="F53" s="36" t="n">
        <f aca="false">F50-F52</f>
        <v>63856.87775</v>
      </c>
      <c r="G53" s="36" t="n">
        <f aca="false">G50-G52</f>
        <v>85194.5148900001</v>
      </c>
    </row>
    <row r="54" customFormat="false" ht="15" hidden="false" customHeight="true" outlineLevel="0" collapsed="false">
      <c r="A54" s="13" t="s">
        <v>589</v>
      </c>
      <c r="C54" s="16" t="n">
        <f aca="false">IFERROR(C53/C49,0)</f>
        <v>0.0310093739505942</v>
      </c>
      <c r="D54" s="16" t="n">
        <f aca="false">IFERROR(D53/D49,0)</f>
        <v>0.194165209854688</v>
      </c>
      <c r="E54" s="16" t="n">
        <f aca="false">IFERROR(E53/E49,0)</f>
        <v>0.243315841476966</v>
      </c>
      <c r="F54" s="16" t="n">
        <f aca="false">IFERROR(F53/F49,0)</f>
        <v>0.28137702297543</v>
      </c>
      <c r="G54" s="16" t="n">
        <f aca="false">IFERROR(G53/G49,0)</f>
        <v>0.300318835724274</v>
      </c>
    </row>
    <row r="55" customFormat="false" ht="15" hidden="false" customHeight="true" outlineLevel="0" collapsed="false">
      <c r="A55" s="13" t="s">
        <v>590</v>
      </c>
      <c r="C55" s="34" t="n">
        <f aca="false">Historicals!F43+C80*Inputs!$B$20/2</f>
        <v>2756.6375</v>
      </c>
      <c r="D55" s="34" t="n">
        <f aca="false">MAX(0,D80-D81)*Inputs!$B$20</f>
        <v>3507.94776314153</v>
      </c>
      <c r="E55" s="34" t="n">
        <f aca="false">MAX(0,E80-E81)*Inputs!$B$20</f>
        <v>4159.62575483859</v>
      </c>
      <c r="F55" s="34" t="n">
        <f aca="false">MAX(0,F80-F81)*Inputs!$B$20</f>
        <v>5200.96407880063</v>
      </c>
      <c r="G55" s="34" t="n">
        <f aca="false">MAX(0,G80-G81)*Inputs!$B$20</f>
        <v>6739.86233927111</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24566.3297631415</v>
      </c>
      <c r="E58" s="34" t="n">
        <f aca="false">E53+E55+E56-E57</f>
        <v>45062.6732548386</v>
      </c>
      <c r="F58" s="34" t="n">
        <f aca="false">F53+F55+F56-F57</f>
        <v>69057.8418288007</v>
      </c>
      <c r="G58" s="34" t="n">
        <f aca="false">G53+G55+G56-G57</f>
        <v>91934.3772292712</v>
      </c>
    </row>
    <row r="59" customFormat="false" ht="15" hidden="false" customHeight="true" outlineLevel="0" collapsed="false">
      <c r="A59" s="13" t="s">
        <v>594</v>
      </c>
      <c r="C59" s="34" t="n">
        <f aca="false">C58*Inputs!$B$46</f>
        <v>3195.51395802683</v>
      </c>
      <c r="D59" s="34" t="n">
        <f aca="false">D58*Inputs!$B$46</f>
        <v>17687.7574294619</v>
      </c>
      <c r="E59" s="34" t="n">
        <f aca="false">E58*Inputs!$B$46</f>
        <v>32445.1247434838</v>
      </c>
      <c r="F59" s="34" t="n">
        <f aca="false">F58*Inputs!$B$46</f>
        <v>49721.6461167365</v>
      </c>
      <c r="G59" s="34" t="n">
        <f aca="false">G58*Inputs!$B$46</f>
        <v>66192.7516050753</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191.73083748161</v>
      </c>
      <c r="D63" s="34" t="n">
        <f aca="false">MAX(0,D59-D61)*Inputs!$B$47</f>
        <v>809.265445767714</v>
      </c>
      <c r="E63" s="34" t="n">
        <f aca="false">MAX(0,E59-E61)*Inputs!$B$47</f>
        <v>1946.70748460903</v>
      </c>
      <c r="F63" s="34" t="n">
        <f aca="false">MAX(0,F59-F61)*Inputs!$B$47</f>
        <v>2983.29876700419</v>
      </c>
      <c r="G63" s="34" t="n">
        <f aca="false">MAX(0,G59-G61)*Inputs!$B$47</f>
        <v>3971.56509630452</v>
      </c>
    </row>
    <row r="64" customFormat="false" ht="15" hidden="false" customHeight="true" outlineLevel="0" collapsed="false">
      <c r="A64" s="13" t="s">
        <v>599</v>
      </c>
      <c r="C64" s="34" t="n">
        <f aca="false">C58-C63</f>
        <v>4246.48299311121</v>
      </c>
      <c r="D64" s="34" t="n">
        <f aca="false">D58-D63</f>
        <v>23757.0643173738</v>
      </c>
      <c r="E64" s="34" t="n">
        <f aca="false">E58-E63</f>
        <v>43115.9657702296</v>
      </c>
      <c r="F64" s="34" t="n">
        <f aca="false">F58-F63</f>
        <v>66074.5430617965</v>
      </c>
      <c r="G64" s="34" t="n">
        <f aca="false">G58-G63</f>
        <v>87962.8121329667</v>
      </c>
    </row>
    <row r="65" customFormat="false" ht="15" hidden="false" customHeight="true" outlineLevel="0" collapsed="false">
      <c r="A65" s="13" t="s">
        <v>600</v>
      </c>
      <c r="C65" s="34" t="n">
        <f aca="false">Inputs!$B$44</f>
        <v>8200</v>
      </c>
      <c r="D65" s="34" t="n">
        <f aca="false">C67</f>
        <v>4802.81360551103</v>
      </c>
      <c r="E65" s="34" t="n">
        <f aca="false">D67</f>
        <v>0</v>
      </c>
      <c r="F65" s="34" t="n">
        <f aca="false">E67</f>
        <v>0</v>
      </c>
      <c r="G65" s="34" t="n">
        <f aca="false">F67</f>
        <v>0</v>
      </c>
    </row>
    <row r="66" customFormat="false" ht="15" hidden="false" customHeight="true" outlineLevel="0" collapsed="false">
      <c r="A66" s="13" t="s">
        <v>601</v>
      </c>
      <c r="C66" s="34" t="n">
        <f aca="false">MIN(C65,Inputs!$B$45*MAX(0,C64))</f>
        <v>3397.18639448897</v>
      </c>
      <c r="D66" s="34" t="n">
        <f aca="false">MIN(D65,Inputs!$B$45*MAX(0,D64))</f>
        <v>4802.81360551103</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0</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178.352285710671</v>
      </c>
      <c r="D68" s="34" t="n">
        <f aca="false">MAX(0,D64-D66)*Inputs!$B$43</f>
        <v>3980.39264949118</v>
      </c>
      <c r="E68" s="34" t="n">
        <f aca="false">MAX(0,E64-E66)*Inputs!$B$43</f>
        <v>9054.35281174821</v>
      </c>
      <c r="F68" s="34" t="n">
        <f aca="false">MAX(0,F64-F66)*Inputs!$B$43</f>
        <v>13875.6540429773</v>
      </c>
      <c r="G68" s="34" t="n">
        <f aca="false">MAX(0,G64-G66)*Inputs!$B$43</f>
        <v>18472.190547923</v>
      </c>
    </row>
    <row r="69" customFormat="false" ht="15" hidden="false" customHeight="true" outlineLevel="0" collapsed="false">
      <c r="A69" s="10" t="s">
        <v>604</v>
      </c>
      <c r="C69" s="36" t="n">
        <f aca="false">IF(Inputs!$C$90=0,MAX(0,C53+C55)*Inputs!B$54,IF(Inputs!$C$90=2,MAX(0,C58)*Inputs!$C$91,C63+C68))</f>
        <v>370.083123192281</v>
      </c>
      <c r="D69" s="36" t="n">
        <f aca="false">IF(Inputs!$C$90=0,MAX(0,D53+D55)*Inputs!C$54,IF(Inputs!$C$90=2,MAX(0,D58)*Inputs!$C$91,D63+D68))</f>
        <v>4789.6580952589</v>
      </c>
      <c r="E69" s="36" t="n">
        <f aca="false">IF(Inputs!$C$90=0,MAX(0,E53+E55)*Inputs!D$54,IF(Inputs!$C$90=2,MAX(0,E58)*Inputs!$C$91,E63+E68))</f>
        <v>11001.0602963572</v>
      </c>
      <c r="F69" s="36" t="n">
        <f aca="false">IF(Inputs!$C$90=0,MAX(0,F53+F55)*Inputs!E$54,IF(Inputs!$C$90=2,MAX(0,F58)*Inputs!$C$91,F63+F68))</f>
        <v>16858.9528099814</v>
      </c>
      <c r="G69" s="36" t="n">
        <f aca="false">IF(Inputs!$C$90=0,MAX(0,G53+G55)*Inputs!F$54,IF(Inputs!$C$90=2,MAX(0,G58)*Inputs!$C$91,G63+G68))</f>
        <v>22443.7556442275</v>
      </c>
    </row>
    <row r="70" customFormat="false" ht="15" hidden="false" customHeight="true" outlineLevel="0" collapsed="false">
      <c r="A70" s="13" t="s">
        <v>605</v>
      </c>
      <c r="C70" s="16" t="n">
        <f aca="false">IF(C58&gt;0,MIN(1,C69/C58),0)</f>
        <v>0.0833856</v>
      </c>
      <c r="D70" s="16" t="n">
        <f aca="false">IF(D58&gt;0,MIN(1,D69/D58),0)</f>
        <v>0.194968403560435</v>
      </c>
      <c r="E70" s="16" t="n">
        <f aca="false">IF(E58&gt;0,MIN(1,E69/E58),0)</f>
        <v>0.244128</v>
      </c>
      <c r="F70" s="16" t="n">
        <f aca="false">IF(F58&gt;0,MIN(1,F69/F58),0)</f>
        <v>0.244128</v>
      </c>
      <c r="G70" s="16" t="n">
        <f aca="false">IF(G58&gt;0,MIN(1,G69/G58),0)</f>
        <v>0.244128</v>
      </c>
    </row>
    <row r="71" customFormat="false" ht="15" hidden="false" customHeight="true" outlineLevel="0" collapsed="false">
      <c r="A71" s="13" t="s">
        <v>606</v>
      </c>
      <c r="C71" s="34" t="n">
        <f aca="false">C53+C55-C69</f>
        <v>4068.13070740054</v>
      </c>
      <c r="D71" s="34" t="n">
        <f aca="false">D53+D55-D69</f>
        <v>19776.6716678826</v>
      </c>
      <c r="E71" s="34" t="n">
        <f aca="false">E53+E55-E69</f>
        <v>34061.6129584814</v>
      </c>
      <c r="F71" s="34" t="n">
        <f aca="false">F53+F55-F69</f>
        <v>52198.8890188192</v>
      </c>
      <c r="G71" s="34" t="n">
        <f aca="false">G53+G55-G69</f>
        <v>69490.6215850437</v>
      </c>
    </row>
    <row r="72" customFormat="false" ht="15" hidden="false" customHeight="true" outlineLevel="0" collapsed="false">
      <c r="A72" s="13" t="s">
        <v>607</v>
      </c>
      <c r="C72" s="34" t="n">
        <f aca="false">C12+C20</f>
        <v>8451.61981826049</v>
      </c>
      <c r="D72" s="34" t="n">
        <f aca="false">D12+D20</f>
        <v>9761.04</v>
      </c>
      <c r="E72" s="34" t="n">
        <f aca="false">E12+E20</f>
        <v>13448.544</v>
      </c>
      <c r="F72" s="34" t="n">
        <f aca="false">F12+F20</f>
        <v>15886.0926</v>
      </c>
      <c r="G72" s="34" t="n">
        <f aca="false">G12+G20</f>
        <v>17020.8135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10892.910525661</v>
      </c>
      <c r="D75" s="36" t="n">
        <f aca="false">D53+D72+D52+D55-D69-D51+D73+D74</f>
        <v>26067.1196678826</v>
      </c>
      <c r="E75" s="36" t="n">
        <f aca="false">E53+E72+E52+E55-E69-E51+E73+E74</f>
        <v>41653.5329584814</v>
      </c>
      <c r="F75" s="36" t="n">
        <f aca="false">F53+F72+F52+F55-F69-F51+F73+F74</f>
        <v>61555.9304188192</v>
      </c>
      <c r="G75" s="36" t="n">
        <f aca="false">G53+G72+G52+G55-G69-G51+G73+G74</f>
        <v>79982.3838850437</v>
      </c>
    </row>
    <row r="76" customFormat="false" ht="15" hidden="false" customHeight="true" outlineLevel="0" collapsed="false">
      <c r="A76" s="10" t="s">
        <v>611</v>
      </c>
      <c r="C76" s="36" t="n">
        <f aca="false">C53+C52-(C69-C55*C70)-C51+C73+C74</f>
        <v>-85.4829206794611</v>
      </c>
      <c r="D76" s="36" t="n">
        <f aca="false">D53+D52-(D69-D55*D70)-D51+D73+D74</f>
        <v>13482.0708798942</v>
      </c>
      <c r="E76" s="36" t="n">
        <f aca="false">E53+E52-(E69-E55*E70)-E51+E73+E74</f>
        <v>25060.84431992</v>
      </c>
      <c r="F76" s="36" t="n">
        <f aca="false">F53+F52-(F69-F55*F70)-F51+F73+F74</f>
        <v>41738.574698648</v>
      </c>
      <c r="G76" s="36" t="n">
        <f aca="false">G53+G52-(G69-G55*G70)-G51+G73+G74</f>
        <v>57867.0971589342</v>
      </c>
    </row>
    <row r="77" customFormat="false" ht="15" hidden="false" customHeight="true" outlineLevel="0" collapsed="false">
      <c r="A77" s="13" t="s">
        <v>612</v>
      </c>
      <c r="C77" s="16" t="n">
        <f aca="false">IFERROR(C76/C49,0)</f>
        <v>-0.00157636130190052</v>
      </c>
      <c r="D77" s="16" t="n">
        <f aca="false">IFERROR(D76/D49,0)</f>
        <v>0.124309128862342</v>
      </c>
      <c r="E77" s="16" t="n">
        <f aca="false">IFERROR(E76/E49,0)</f>
        <v>0.149076922051458</v>
      </c>
      <c r="F77" s="16" t="n">
        <f aca="false">IFERROR(F76/F49,0)</f>
        <v>0.183915598534618</v>
      </c>
      <c r="G77" s="16" t="n">
        <f aca="false">IFERROR(G76/G49,0)</f>
        <v>0.203987067335885</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140317.910525661</v>
      </c>
      <c r="E80" s="34" t="n">
        <f aca="false">D85</f>
        <v>166385.030193544</v>
      </c>
      <c r="F80" s="34" t="n">
        <f aca="false">E85</f>
        <v>208038.563152025</v>
      </c>
      <c r="G80" s="34" t="n">
        <f aca="false">F85</f>
        <v>269594.493570844</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8666.91052566103</v>
      </c>
      <c r="D82" s="34" t="n">
        <f aca="false">D75</f>
        <v>26067.1196678826</v>
      </c>
      <c r="E82" s="34" t="n">
        <f aca="false">E75</f>
        <v>41653.5329584814</v>
      </c>
      <c r="F82" s="34" t="n">
        <f aca="false">F75</f>
        <v>61555.9304188192</v>
      </c>
      <c r="G82" s="34" t="n">
        <f aca="false">G75</f>
        <v>79982.3838850437</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140317.910525661</v>
      </c>
      <c r="D85" s="36" t="n">
        <f aca="false">D80+D82+D83+D84</f>
        <v>166385.030193544</v>
      </c>
      <c r="E85" s="36" t="n">
        <f aca="false">E80+E82+E83+E84</f>
        <v>208038.563152025</v>
      </c>
      <c r="F85" s="36" t="n">
        <f aca="false">F80+F82+F83+F84</f>
        <v>269594.493570844</v>
      </c>
      <c r="G85" s="36" t="n">
        <f aca="false">G80+G82+G83+G84</f>
        <v>349576.877455888</v>
      </c>
    </row>
    <row r="86" customFormat="false" ht="15" hidden="false" customHeight="true" outlineLevel="0" collapsed="false">
      <c r="A86" s="13" t="s">
        <v>622</v>
      </c>
      <c r="C86" s="34" t="n">
        <f aca="false">MIN(C80-C81,C85)</f>
        <v>131651</v>
      </c>
      <c r="D86" s="34" t="n">
        <f aca="false">MIN(D80-D81,D85)</f>
        <v>140317.910525661</v>
      </c>
      <c r="E86" s="34" t="n">
        <f aca="false">MIN(E80-E81,E85)</f>
        <v>166385.030193544</v>
      </c>
      <c r="F86" s="34" t="n">
        <f aca="false">MIN(F80-F81,F85)</f>
        <v>208038.563152025</v>
      </c>
      <c r="G86" s="34" t="n">
        <f aca="false">MIN(G80-G81,G85)</f>
        <v>269594.493570844</v>
      </c>
    </row>
    <row r="87" customFormat="false" ht="15" hidden="false" customHeight="true" outlineLevel="0" collapsed="false">
      <c r="A87" s="13" t="s">
        <v>623</v>
      </c>
      <c r="C87" s="34" t="n">
        <f aca="false">C86-Inputs!$B$29</f>
        <v>126651</v>
      </c>
      <c r="D87" s="34" t="n">
        <f aca="false">D86-Inputs!$B$29</f>
        <v>135317.910525661</v>
      </c>
      <c r="E87" s="34" t="n">
        <f aca="false">E86-Inputs!$B$29</f>
        <v>161385.030193544</v>
      </c>
      <c r="F87" s="34" t="n">
        <f aca="false">F86-Inputs!$B$29</f>
        <v>203038.563152025</v>
      </c>
      <c r="G87" s="34" t="n">
        <f aca="false">G86-Inputs!$B$29</f>
        <v>264594.493570844</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140317.910525661</v>
      </c>
      <c r="D100" s="34" t="n">
        <f aca="false">D85+SUM($C97:D97)+SUM($C98:D98)-SUM($C99:D99)</f>
        <v>166385.030193544</v>
      </c>
      <c r="E100" s="34" t="n">
        <f aca="false">E85+SUM($C97:E97)+SUM($C98:E98)-SUM($C99:E99)</f>
        <v>208038.563152025</v>
      </c>
      <c r="F100" s="34" t="n">
        <f aca="false">F85+SUM($C97:F97)+SUM($C98:F98)-SUM($C99:F99)</f>
        <v>269594.493570844</v>
      </c>
      <c r="G100" s="34" t="n">
        <f aca="false">G85+SUM($C97:G97)+SUM($C98:G98)-SUM($C99:G99)</f>
        <v>349576.877455888</v>
      </c>
    </row>
    <row r="101" customFormat="false" ht="15" hidden="false" customHeight="true" outlineLevel="0" collapsed="false">
      <c r="A101" s="13" t="s">
        <v>637</v>
      </c>
      <c r="C101" s="34" t="n">
        <f aca="false">MIN(C80-C81+0+C97,C100)</f>
        <v>131651</v>
      </c>
      <c r="D101" s="34" t="n">
        <f aca="false">MIN(D80-D81+SUM($C97:C97)+SUM($C98:C98)-SUM($C99:C99)+D97,D100)</f>
        <v>140317.910525661</v>
      </c>
      <c r="E101" s="34" t="n">
        <f aca="false">MIN(E80-E81+SUM($C97:D97)+SUM($C98:D98)-SUM($C99:D99)+E97,E100)</f>
        <v>166385.030193544</v>
      </c>
      <c r="F101" s="34" t="n">
        <f aca="false">MIN(F80-F81+SUM($C97:E97)+SUM($C98:E98)-SUM($C99:E99)+F97,F100)</f>
        <v>208038.563152025</v>
      </c>
      <c r="G101" s="34" t="n">
        <f aca="false">MIN(G80-G81+SUM($C97:F97)+SUM($C98:F98)-SUM($C99:F99)+G97,G100)</f>
        <v>269594.493570844</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110408.208</v>
      </c>
      <c r="E105" s="34" t="n">
        <f aca="false">E5+E31</f>
        <v>175671.606</v>
      </c>
      <c r="F105" s="34" t="n">
        <f aca="false">F5+F31</f>
        <v>247369.1562</v>
      </c>
      <c r="G105" s="34" t="n">
        <f aca="false">G5+G31</f>
        <v>321977.055375</v>
      </c>
    </row>
    <row r="106" customFormat="false" ht="15" hidden="false" customHeight="true" outlineLevel="0" collapsed="false">
      <c r="A106" s="13" t="s">
        <v>558</v>
      </c>
      <c r="C106" s="34" t="n">
        <f aca="false">C17+C35</f>
        <v>1681.57633059282</v>
      </c>
      <c r="D106" s="34" t="n">
        <f aca="false">D17+D35</f>
        <v>22706.9132</v>
      </c>
      <c r="E106" s="34" t="n">
        <f aca="false">E17+E35</f>
        <v>46477.6859</v>
      </c>
      <c r="F106" s="34" t="n">
        <f aca="false">F17+F35</f>
        <v>76845.02603</v>
      </c>
      <c r="G106" s="34" t="n">
        <f aca="false">G17+G35</f>
        <v>108168.20709</v>
      </c>
    </row>
    <row r="107" customFormat="false" ht="15" hidden="false" customHeight="true" outlineLevel="0" collapsed="false">
      <c r="A107" s="13" t="s">
        <v>586</v>
      </c>
      <c r="C107" s="34" t="n">
        <f aca="false">C51+C37</f>
        <v>1626.84</v>
      </c>
      <c r="D107" s="34" t="n">
        <f aca="false">D51+D37</f>
        <v>4416.32832</v>
      </c>
      <c r="E107" s="34" t="n">
        <f aca="false">E51+E37</f>
        <v>8783.5803</v>
      </c>
      <c r="F107" s="34" t="n">
        <f aca="false">F51+F37</f>
        <v>12368.45781</v>
      </c>
      <c r="G107" s="34" t="n">
        <f aca="false">G51+G37</f>
        <v>16098.85276875</v>
      </c>
    </row>
    <row r="108" customFormat="false" ht="15" hidden="false" customHeight="true" outlineLevel="0" collapsed="false">
      <c r="A108" s="13" t="s">
        <v>587</v>
      </c>
      <c r="C108" s="33" t="n">
        <v>0</v>
      </c>
      <c r="D108" s="34" t="n">
        <f aca="false">SUMPRODUCT($D107:D107,--((4-COLUMN($D107:D107))&lt;Inputs!$B$32))/Inputs!$B$32</f>
        <v>883.265664</v>
      </c>
      <c r="E108" s="34" t="n">
        <f aca="false">SUMPRODUCT($D107:E107,--((5-COLUMN($D107:E107))&lt;Inputs!$B$32))/Inputs!$B$32</f>
        <v>2639.981724</v>
      </c>
      <c r="F108" s="34" t="n">
        <f aca="false">SUMPRODUCT($D107:F107,--((6-COLUMN($D107:F107))&lt;Inputs!$B$32))/Inputs!$B$32</f>
        <v>5113.673286</v>
      </c>
      <c r="G108" s="34" t="n">
        <f aca="false">SUMPRODUCT($D107:G107,--((7-COLUMN($D107:G107))&lt;Inputs!$B$32))/Inputs!$B$32</f>
        <v>8333.44383975</v>
      </c>
    </row>
    <row r="109" customFormat="false" ht="15" hidden="false" customHeight="true" outlineLevel="0" collapsed="false">
      <c r="A109" s="10" t="s">
        <v>588</v>
      </c>
      <c r="C109" s="36" t="n">
        <f aca="false">C106-C108</f>
        <v>1681.57633059282</v>
      </c>
      <c r="D109" s="36" t="n">
        <f aca="false">D106-D108</f>
        <v>21823.647536</v>
      </c>
      <c r="E109" s="36" t="n">
        <f aca="false">E106-E108</f>
        <v>43837.704176</v>
      </c>
      <c r="F109" s="36" t="n">
        <f aca="false">F106-F108</f>
        <v>71731.352744</v>
      </c>
      <c r="G109" s="36" t="n">
        <f aca="false">G106-G108</f>
        <v>99834.7632502501</v>
      </c>
    </row>
    <row r="110" customFormat="false" ht="15" hidden="false" customHeight="true" outlineLevel="0" collapsed="false">
      <c r="A110" s="13" t="s">
        <v>589</v>
      </c>
      <c r="C110" s="16" t="n">
        <f aca="false">IFERROR(C109/C105,0)</f>
        <v>0.0310093739505942</v>
      </c>
      <c r="D110" s="16" t="n">
        <f aca="false">IFERROR(D109/D105,0)</f>
        <v>0.1976632709771</v>
      </c>
      <c r="E110" s="16" t="n">
        <f aca="false">IFERROR(E109/E105,0)</f>
        <v>0.249543481580057</v>
      </c>
      <c r="F110" s="16" t="n">
        <f aca="false">IFERROR(F109/F105,0)</f>
        <v>0.289976947190638</v>
      </c>
      <c r="G110" s="16" t="n">
        <f aca="false">IFERROR(G109/G105,0)</f>
        <v>0.310067942990455</v>
      </c>
    </row>
    <row r="111" customFormat="false" ht="15" hidden="false" customHeight="true" outlineLevel="0" collapsed="false">
      <c r="A111" s="13" t="s">
        <v>590</v>
      </c>
      <c r="C111" s="34" t="n">
        <f aca="false">Historicals!F43+C136*Inputs!$B$20/2</f>
        <v>2756.6375</v>
      </c>
      <c r="D111" s="34" t="n">
        <f aca="false">MAX(0,D136-D137)*Inputs!$B$20</f>
        <v>3507.94776314153</v>
      </c>
      <c r="E111" s="34" t="n">
        <f aca="false">MAX(0,E136-E137)*Inputs!$B$20</f>
        <v>4172.52505821928</v>
      </c>
      <c r="F111" s="34" t="n">
        <f aca="false">MAX(0,F136-F137)*Inputs!$B$20</f>
        <v>5262.38839361247</v>
      </c>
      <c r="G111" s="34" t="n">
        <f aca="false">MAX(0,G136-G137)*Inputs!$B$20</f>
        <v>6933.10642304171</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25331.5952991415</v>
      </c>
      <c r="E114" s="34" t="n">
        <f aca="false">E109+E111+E112-E113</f>
        <v>48010.2292342193</v>
      </c>
      <c r="F114" s="34" t="n">
        <f aca="false">F109+F111+F112-F113</f>
        <v>76993.7411376125</v>
      </c>
      <c r="G114" s="34" t="n">
        <f aca="false">G109+G111+G112-G113</f>
        <v>106767.869673292</v>
      </c>
    </row>
    <row r="115" customFormat="false" ht="15" hidden="false" customHeight="true" outlineLevel="0" collapsed="false">
      <c r="A115" s="13" t="s">
        <v>594</v>
      </c>
      <c r="C115" s="34" t="n">
        <f aca="false">C114*Inputs!$B$46</f>
        <v>3195.51395802683</v>
      </c>
      <c r="D115" s="34" t="n">
        <f aca="false">D114*Inputs!$B$46</f>
        <v>18238.7486153819</v>
      </c>
      <c r="E115" s="34" t="n">
        <f aca="false">E114*Inputs!$B$46</f>
        <v>34567.3650486379</v>
      </c>
      <c r="F115" s="34" t="n">
        <f aca="false">F114*Inputs!$B$46</f>
        <v>55435.493619081</v>
      </c>
      <c r="G115" s="34" t="n">
        <f aca="false">G114*Inputs!$B$46</f>
        <v>76872.8661647701</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191.73083748161</v>
      </c>
      <c r="D119" s="34" t="n">
        <f aca="false">MAX(0,D115-D117)*Inputs!$B$47</f>
        <v>842.324916922914</v>
      </c>
      <c r="E119" s="34" t="n">
        <f aca="false">MAX(0,E115-E117)*Inputs!$B$47</f>
        <v>2074.04190291827</v>
      </c>
      <c r="F119" s="34" t="n">
        <f aca="false">MAX(0,F115-F117)*Inputs!$B$47</f>
        <v>3326.12961714486</v>
      </c>
      <c r="G119" s="34" t="n">
        <f aca="false">MAX(0,G115-G117)*Inputs!$B$47</f>
        <v>4612.37196988621</v>
      </c>
    </row>
    <row r="120" customFormat="false" ht="15" hidden="false" customHeight="true" outlineLevel="0" collapsed="false">
      <c r="A120" s="13" t="s">
        <v>599</v>
      </c>
      <c r="C120" s="34" t="n">
        <f aca="false">C114-C119</f>
        <v>4246.48299311121</v>
      </c>
      <c r="D120" s="34" t="n">
        <f aca="false">D114-D119</f>
        <v>24489.2703822186</v>
      </c>
      <c r="E120" s="34" t="n">
        <f aca="false">E114-E119</f>
        <v>45936.187331301</v>
      </c>
      <c r="F120" s="34" t="n">
        <f aca="false">F114-F119</f>
        <v>73667.6115204677</v>
      </c>
      <c r="G120" s="34" t="n">
        <f aca="false">G114-G119</f>
        <v>102155.497703406</v>
      </c>
    </row>
    <row r="121" customFormat="false" ht="15" hidden="false" customHeight="true" outlineLevel="0" collapsed="false">
      <c r="A121" s="13" t="s">
        <v>600</v>
      </c>
      <c r="C121" s="34" t="n">
        <f aca="false">Inputs!$B$44</f>
        <v>8200</v>
      </c>
      <c r="D121" s="34" t="n">
        <f aca="false">C123</f>
        <v>4802.81360551103</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3397.18639448897</v>
      </c>
      <c r="D122" s="34" t="n">
        <f aca="false">MIN(D121,Inputs!$B$45*MAX(0,D120))</f>
        <v>4802.81360551103</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178.352285710671</v>
      </c>
      <c r="D124" s="34" t="n">
        <f aca="false">MAX(0,D120-D122)*Inputs!$B$43</f>
        <v>4134.15592310859</v>
      </c>
      <c r="E124" s="34" t="n">
        <f aca="false">MAX(0,E120-E122)*Inputs!$B$43</f>
        <v>9646.59933957321</v>
      </c>
      <c r="F124" s="34" t="n">
        <f aca="false">MAX(0,F120-F122)*Inputs!$B$43</f>
        <v>15470.1984192982</v>
      </c>
      <c r="G124" s="34" t="n">
        <f aca="false">MAX(0,G120-G122)*Inputs!$B$43</f>
        <v>21452.6545177152</v>
      </c>
    </row>
    <row r="125" customFormat="false" ht="15" hidden="false" customHeight="true" outlineLevel="0" collapsed="false">
      <c r="A125" s="10" t="s">
        <v>604</v>
      </c>
      <c r="C125" s="36" t="n">
        <f aca="false">IF(Inputs!$C$90=0,MAX(0,C109+C111)*Inputs!B$54,IF(Inputs!$C$90=2,MAX(0,C114)*Inputs!$C$91,C119+C124))</f>
        <v>370.083123192281</v>
      </c>
      <c r="D125" s="36" t="n">
        <f aca="false">IF(Inputs!$C$90=0,MAX(0,D109+D111)*Inputs!C$54,IF(Inputs!$C$90=2,MAX(0,D114)*Inputs!$C$91,D119+D124))</f>
        <v>4976.48084003151</v>
      </c>
      <c r="E125" s="36" t="n">
        <f aca="false">IF(Inputs!$C$90=0,MAX(0,E109+E111)*Inputs!D$54,IF(Inputs!$C$90=2,MAX(0,E114)*Inputs!$C$91,E119+E124))</f>
        <v>11720.6412424915</v>
      </c>
      <c r="F125" s="36" t="n">
        <f aca="false">IF(Inputs!$C$90=0,MAX(0,F109+F111)*Inputs!E$54,IF(Inputs!$C$90=2,MAX(0,F114)*Inputs!$C$91,F119+F124))</f>
        <v>18796.3280364431</v>
      </c>
      <c r="G125" s="36" t="n">
        <f aca="false">IF(Inputs!$C$90=0,MAX(0,G109+G111)*Inputs!F$54,IF(Inputs!$C$90=2,MAX(0,G114)*Inputs!$C$91,G119+G124))</f>
        <v>26065.0264876014</v>
      </c>
    </row>
    <row r="126" customFormat="false" ht="15" hidden="false" customHeight="true" outlineLevel="0" collapsed="false">
      <c r="A126" s="13" t="s">
        <v>605</v>
      </c>
      <c r="C126" s="16" t="n">
        <f aca="false">IF(C114&gt;0,MIN(1,C125/C114),0)</f>
        <v>0.0833856</v>
      </c>
      <c r="D126" s="16" t="n">
        <f aca="false">IF(D114&gt;0,MIN(1,D125/D114),0)</f>
        <v>0.196453511169119</v>
      </c>
      <c r="E126" s="16" t="n">
        <f aca="false">IF(E114&gt;0,MIN(1,E125/E114),0)</f>
        <v>0.244128</v>
      </c>
      <c r="F126" s="16" t="n">
        <f aca="false">IF(F114&gt;0,MIN(1,F125/F114),0)</f>
        <v>0.244128</v>
      </c>
      <c r="G126" s="16" t="n">
        <f aca="false">IF(G114&gt;0,MIN(1,G125/G114),0)</f>
        <v>0.244128</v>
      </c>
    </row>
    <row r="127" customFormat="false" ht="15" hidden="false" customHeight="true" outlineLevel="0" collapsed="false">
      <c r="A127" s="13" t="s">
        <v>606</v>
      </c>
      <c r="C127" s="34" t="n">
        <f aca="false">C109+C111-C125</f>
        <v>4068.13070740054</v>
      </c>
      <c r="D127" s="34" t="n">
        <f aca="false">D109+D111-D125</f>
        <v>20355.11445911</v>
      </c>
      <c r="E127" s="34" t="n">
        <f aca="false">E109+E111-E125</f>
        <v>36289.5879917278</v>
      </c>
      <c r="F127" s="34" t="n">
        <f aca="false">F109+F111-F125</f>
        <v>58197.4131011694</v>
      </c>
      <c r="G127" s="34" t="n">
        <f aca="false">G109+G111-G125</f>
        <v>80702.8431856904</v>
      </c>
    </row>
    <row r="128" customFormat="false" ht="15" hidden="false" customHeight="true" outlineLevel="0" collapsed="false">
      <c r="A128" s="13" t="s">
        <v>607</v>
      </c>
      <c r="C128" s="34" t="n">
        <f aca="false">C12+C20</f>
        <v>8451.61981826049</v>
      </c>
      <c r="D128" s="34" t="n">
        <f aca="false">D12+D20</f>
        <v>9761.04</v>
      </c>
      <c r="E128" s="34" t="n">
        <f aca="false">E12+E20</f>
        <v>13448.544</v>
      </c>
      <c r="F128" s="34" t="n">
        <f aca="false">F12+F20</f>
        <v>15886.0926</v>
      </c>
      <c r="G128" s="34" t="n">
        <f aca="false">G12+G20</f>
        <v>17020.8135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10892.910525661</v>
      </c>
      <c r="D131" s="36" t="n">
        <f aca="false">D109+D128+D108+D111-D125-D107+D129+D130</f>
        <v>26583.09180311</v>
      </c>
      <c r="E131" s="36" t="n">
        <f aca="false">E109+E128+E108+E111-E125-E107+E129+E130</f>
        <v>43594.5334157278</v>
      </c>
      <c r="F131" s="36" t="n">
        <f aca="false">F109+F128+F108+F111-F125-F107+F129+F130</f>
        <v>66828.7211771694</v>
      </c>
      <c r="G131" s="36" t="n">
        <f aca="false">G109+G128+G108+G111-G125-G107+G129+G130</f>
        <v>89958.2477566904</v>
      </c>
    </row>
    <row r="132" customFormat="false" ht="15" hidden="false" customHeight="true" outlineLevel="0" collapsed="false">
      <c r="A132" s="10" t="s">
        <v>611</v>
      </c>
      <c r="C132" s="36" t="n">
        <f aca="false">C109+C108-(C125-C111*C126)-C107+C129+C130</f>
        <v>-85.4829206794611</v>
      </c>
      <c r="D132" s="36" t="n">
        <f aca="false">D109+D108-(D125-D111*D126)-D107+D129+D130</f>
        <v>14003.2526950355</v>
      </c>
      <c r="E132" s="36" t="n">
        <f aca="false">E109+E108-(E125-E111*E126)-E107+E129+E130</f>
        <v>26992.0945549215</v>
      </c>
      <c r="F132" s="36" t="n">
        <f aca="false">F109+F108-(F125-F111*F126)-F107+F129+F130</f>
        <v>46964.9365373128</v>
      </c>
      <c r="G132" s="36" t="n">
        <f aca="false">G109+G108-(G125-G111*G126)-G107+G129+G130</f>
        <v>67696.893238493</v>
      </c>
    </row>
    <row r="133" customFormat="false" ht="15" hidden="false" customHeight="true" outlineLevel="0" collapsed="false">
      <c r="A133" s="13" t="s">
        <v>612</v>
      </c>
      <c r="C133" s="16" t="n">
        <f aca="false">IFERROR(C132/C105,0)</f>
        <v>-0.00157636130190052</v>
      </c>
      <c r="D133" s="16" t="n">
        <f aca="false">IFERROR(D132/D105,0)</f>
        <v>0.126831627364476</v>
      </c>
      <c r="E133" s="16" t="n">
        <f aca="false">IFERROR(E132/E105,0)</f>
        <v>0.153650866918821</v>
      </c>
      <c r="F133" s="16" t="n">
        <f aca="false">IFERROR(F132/F105,0)</f>
        <v>0.189857689854192</v>
      </c>
      <c r="G133" s="16" t="n">
        <f aca="false">IFERROR(G132/G105,0)</f>
        <v>0.210253780846737</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140317.910525661</v>
      </c>
      <c r="E136" s="34" t="n">
        <f aca="false">D141</f>
        <v>166901.002328771</v>
      </c>
      <c r="F136" s="34" t="n">
        <f aca="false">E141</f>
        <v>210495.535744499</v>
      </c>
      <c r="G136" s="34" t="n">
        <f aca="false">F141</f>
        <v>277324.256921668</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8666.91052566103</v>
      </c>
      <c r="D138" s="34" t="n">
        <f aca="false">D131</f>
        <v>26583.09180311</v>
      </c>
      <c r="E138" s="34" t="n">
        <f aca="false">E131</f>
        <v>43594.5334157278</v>
      </c>
      <c r="F138" s="34" t="n">
        <f aca="false">F131</f>
        <v>66828.7211771694</v>
      </c>
      <c r="G138" s="34" t="n">
        <f aca="false">G131</f>
        <v>89958.2477566904</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140317.910525661</v>
      </c>
      <c r="D141" s="36" t="n">
        <f aca="false">D136+D138+D139+D140</f>
        <v>166901.002328771</v>
      </c>
      <c r="E141" s="36" t="n">
        <f aca="false">E136+E138+E139+E140</f>
        <v>210495.535744499</v>
      </c>
      <c r="F141" s="36" t="n">
        <f aca="false">F136+F138+F139+F140</f>
        <v>277324.256921668</v>
      </c>
      <c r="G141" s="36" t="n">
        <f aca="false">G136+G138+G139+G140</f>
        <v>367282.504678359</v>
      </c>
    </row>
    <row r="142" customFormat="false" ht="15" hidden="false" customHeight="true" outlineLevel="0" collapsed="false">
      <c r="A142" s="13" t="s">
        <v>622</v>
      </c>
      <c r="C142" s="34" t="n">
        <f aca="false">MIN(C136-C137,C141)</f>
        <v>131651</v>
      </c>
      <c r="D142" s="34" t="n">
        <f aca="false">MIN(D136-D137,D141)</f>
        <v>140317.910525661</v>
      </c>
      <c r="E142" s="34" t="n">
        <f aca="false">MIN(E136-E137,E141)</f>
        <v>166901.002328771</v>
      </c>
      <c r="F142" s="34" t="n">
        <f aca="false">MIN(F136-F137,F141)</f>
        <v>210495.535744499</v>
      </c>
      <c r="G142" s="34" t="n">
        <f aca="false">MIN(G136-G137,G141)</f>
        <v>277324.256921668</v>
      </c>
    </row>
    <row r="143" customFormat="false" ht="15" hidden="false" customHeight="true" outlineLevel="0" collapsed="false">
      <c r="A143" s="13" t="s">
        <v>623</v>
      </c>
      <c r="C143" s="34" t="n">
        <f aca="false">C142-Inputs!$B$29</f>
        <v>126651</v>
      </c>
      <c r="D143" s="34" t="n">
        <f aca="false">D142-Inputs!$B$29</f>
        <v>135317.910525661</v>
      </c>
      <c r="E143" s="34" t="n">
        <f aca="false">E142-Inputs!$B$29</f>
        <v>161901.002328771</v>
      </c>
      <c r="F143" s="34" t="n">
        <f aca="false">F142-Inputs!$B$29</f>
        <v>205495.535744499</v>
      </c>
      <c r="G143" s="34" t="n">
        <f aca="false">G142-Inputs!$B$29</f>
        <v>272324.256921668</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140317.910525661</v>
      </c>
      <c r="D156" s="34" t="n">
        <f aca="false">D141+SUM($C153:D153)+SUM($C154:D154)-SUM($C155:D155)</f>
        <v>166901.002328771</v>
      </c>
      <c r="E156" s="34" t="n">
        <f aca="false">E141+SUM($C153:E153)+SUM($C154:E154)-SUM($C155:E155)</f>
        <v>210495.535744499</v>
      </c>
      <c r="F156" s="34" t="n">
        <f aca="false">F141+SUM($C153:F153)+SUM($C154:F154)-SUM($C155:F155)</f>
        <v>277324.256921668</v>
      </c>
      <c r="G156" s="34" t="n">
        <f aca="false">G141+SUM($C153:G153)+SUM($C154:G154)-SUM($C155:G155)</f>
        <v>367282.504678359</v>
      </c>
    </row>
    <row r="157" customFormat="false" ht="15" hidden="false" customHeight="true" outlineLevel="0" collapsed="false">
      <c r="A157" s="13" t="s">
        <v>637</v>
      </c>
      <c r="C157" s="34" t="n">
        <f aca="false">MIN(C136-C137+0+C153,C156)</f>
        <v>131651</v>
      </c>
      <c r="D157" s="34" t="n">
        <f aca="false">MIN(D136-D137+SUM($C153:C153)+SUM($C154:C154)-SUM($C155:C155)+D153,D156)</f>
        <v>140317.910525661</v>
      </c>
      <c r="E157" s="34" t="n">
        <f aca="false">MIN(E136-E137+SUM($C153:D153)+SUM($C154:D154)-SUM($C155:D155)+E153,E156)</f>
        <v>166901.002328771</v>
      </c>
      <c r="F157" s="34" t="n">
        <f aca="false">MIN(F136-F137+SUM($C153:E153)+SUM($C154:E154)-SUM($C155:E155)+F153,F156)</f>
        <v>210495.535744499</v>
      </c>
      <c r="G157" s="34" t="n">
        <f aca="false">MIN(G136-G137+SUM($C153:F153)+SUM($C154:F154)-SUM($C155:F155)+G153,G156)</f>
        <v>277324.256921668</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Inputs!$B$19+Inputs!$C$89</f>
        <v>0.12</v>
      </c>
      <c r="G162" s="16" t="n">
        <f aca="false">Inputs!$B$19+Inputs!$C$89</f>
        <v>0.12</v>
      </c>
    </row>
    <row r="163" customFormat="false" ht="15" hidden="false" customHeight="true" outlineLevel="0" collapsed="false">
      <c r="A163" s="13" t="s">
        <v>642</v>
      </c>
      <c r="F163" s="34" t="n">
        <f aca="false">G53*(1-G70)</f>
        <v>64396.1483589342</v>
      </c>
      <c r="G163" s="34" t="n">
        <f aca="false">G109*(1-G126)</f>
        <v>75462.302167493</v>
      </c>
    </row>
    <row r="164" customFormat="false" ht="15" hidden="false" customHeight="true" outlineLevel="0" collapsed="false">
      <c r="A164" s="13" t="s">
        <v>643</v>
      </c>
      <c r="F164" s="53" t="n">
        <f aca="false">Inputs!$C$87</f>
        <v>30</v>
      </c>
      <c r="G164" s="53" t="n">
        <f aca="false">Inputs!$C$87</f>
        <v>30</v>
      </c>
    </row>
    <row r="165" customFormat="false" ht="15" hidden="false" customHeight="true" outlineLevel="0" collapsed="false">
      <c r="A165" s="13" t="s">
        <v>644</v>
      </c>
      <c r="F165" s="34" t="n">
        <f aca="false">F163*F164</f>
        <v>1931884.45076802</v>
      </c>
      <c r="G165" s="34" t="n">
        <f aca="false">G163*G164</f>
        <v>2263869.06502479</v>
      </c>
    </row>
    <row r="166" customFormat="false" ht="15" hidden="false" customHeight="true" outlineLevel="0" collapsed="false">
      <c r="A166" s="13" t="s">
        <v>645</v>
      </c>
      <c r="F166" s="34" t="n">
        <f aca="false">F165*$G$21</f>
        <v>1227747.49385227</v>
      </c>
      <c r="G166" s="34" t="n">
        <f aca="false">G165*$G$21</f>
        <v>1438729.7179647</v>
      </c>
    </row>
    <row r="167" customFormat="false" ht="15" hidden="false" customHeight="true" outlineLevel="0" collapsed="false">
      <c r="A167" s="13" t="s">
        <v>646</v>
      </c>
      <c r="F167" s="34" t="n">
        <f aca="false">SUMPRODUCT(D76:G76,$D$21:$G$21)-F162*SUMPRODUCT(D81:G81,$D$21:$G$21)</f>
        <v>98500.1943754131</v>
      </c>
      <c r="G167" s="34" t="n">
        <f aca="false">SUMPRODUCT(D132:G132,$D$21:$G$21)-G162*SUMPRODUCT(D137:G137,$D$21:$G$21)</f>
        <v>110472.150385431</v>
      </c>
    </row>
    <row r="168" customFormat="false" ht="15" hidden="false" customHeight="true" outlineLevel="0" collapsed="false">
      <c r="A168" s="13" t="s">
        <v>647</v>
      </c>
      <c r="F168" s="34" t="n">
        <f aca="false">F166+F167</f>
        <v>1326247.68822768</v>
      </c>
      <c r="G168" s="34" t="n">
        <f aca="false">G166+G167</f>
        <v>1549201.86835013</v>
      </c>
    </row>
    <row r="169" customFormat="false" ht="15" hidden="false" customHeight="true" outlineLevel="0" collapsed="false">
      <c r="A169" s="13" t="s">
        <v>648</v>
      </c>
      <c r="F169" s="34" t="n">
        <f aca="false">(G76-G74)*Inputs!$C$88*$G$21</f>
        <v>1029716.41890072</v>
      </c>
      <c r="G169" s="34" t="n">
        <f aca="false">(G132-G130)*Inputs!$C$88*$G$21</f>
        <v>1204632.78613731</v>
      </c>
    </row>
    <row r="170" customFormat="false" ht="15" hidden="false" customHeight="true" outlineLevel="0" collapsed="false">
      <c r="A170" s="13" t="s">
        <v>649</v>
      </c>
      <c r="F170" s="34" t="n">
        <f aca="false">F167+F169</f>
        <v>1128216.61327614</v>
      </c>
      <c r="G170" s="34" t="n">
        <f aca="false">G167+G169</f>
        <v>1315104.93652275</v>
      </c>
    </row>
    <row r="171" customFormat="false" ht="15" hidden="false" customHeight="true" outlineLevel="0" collapsed="false">
      <c r="A171" s="13" t="s">
        <v>650</v>
      </c>
      <c r="F171" s="34" t="n">
        <f aca="false">F168*Inputs!$B$21+F170*(1-Inputs!$B$21)</f>
        <v>1227232.15075191</v>
      </c>
      <c r="G171" s="34" t="n">
        <f aca="false">G168*Inputs!$B$21+G170*(1-Inputs!$B$21)</f>
        <v>1432153.40243644</v>
      </c>
    </row>
    <row r="172" customFormat="false" ht="15" hidden="false" customHeight="true" outlineLevel="0" collapsed="false">
      <c r="A172" s="13" t="s">
        <v>651</v>
      </c>
      <c r="F172" s="16" t="n">
        <f aca="false">IFERROR(F166/F168,0)</f>
        <v>0.925730166959203</v>
      </c>
      <c r="G172" s="16" t="n">
        <f aca="false">IFERROR(G166/G168,0)</f>
        <v>0.928690926184409</v>
      </c>
    </row>
    <row r="173" customFormat="false" ht="15" hidden="false" customHeight="true" outlineLevel="0" collapsed="false">
      <c r="A173" s="13" t="s">
        <v>652</v>
      </c>
      <c r="F173" s="16" t="n">
        <f aca="false">IFERROR(F169/F170,0)</f>
        <v>0.912693898302573</v>
      </c>
      <c r="G173" s="16" t="n">
        <f aca="false">IFERROR(G169/G170,0)</f>
        <v>0.915997463535093</v>
      </c>
    </row>
    <row r="174" customFormat="false" ht="15" hidden="false" customHeight="true" outlineLevel="0" collapsed="false">
      <c r="A174" s="13" t="s">
        <v>653</v>
      </c>
      <c r="F174" s="34" t="n">
        <f aca="false">C85</f>
        <v>140317.910525661</v>
      </c>
      <c r="G174" s="34" t="n">
        <f aca="false">C141</f>
        <v>140317.910525661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1367550.06127757</v>
      </c>
      <c r="G176" s="35" t="n">
        <f aca="false">G171+G174+G175</f>
        <v>1572471.3129621</v>
      </c>
    </row>
    <row r="177" customFormat="false" ht="15" hidden="false" customHeight="true" outlineLevel="0" collapsed="false">
      <c r="A177" s="13" t="s">
        <v>656</v>
      </c>
      <c r="F177" s="34" t="n">
        <f aca="false">IF(F182="OK",F176,"unresolved")</f>
        <v>1367550.06127757</v>
      </c>
      <c r="G177" s="34" t="n">
        <f aca="false">IF(G182="OK",G176,"unresolved")</f>
        <v>1572471.3129621</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76.3880925547083</v>
      </c>
      <c r="G179" s="25" t="n">
        <f aca="false">IF(G182="OK",G176/G178,"n/a")</f>
        <v>87.8345060962213</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No raise needed</v>
      </c>
      <c r="G183" s="29" t="str">
        <f aca="false">IF(G182&lt;&gt;"OK",G182,IF(G180&gt;0,"Raise needed by 2030",IF(ISNUMBER(G181),"Cash-negative in 2030; runway "&amp;TEXT(G181,"0.0")&amp;" yrs","No raise needed")))</f>
        <v>No raise needed</v>
      </c>
    </row>
    <row r="184" customFormat="false" ht="15" hidden="false" customHeight="true" outlineLevel="0" collapsed="false">
      <c r="A184" s="13" t="s">
        <v>663</v>
      </c>
      <c r="F184" s="25" t="n">
        <f aca="false">IF(NOT(ISNUMBER(F179)),"unresolved",IF(F180=0,F179,(F176+F180/(1+F162)^IF(ISNUMBER(G93),MAX(0,G93-2027),0))/(F178+(F180/(1-Inputs!$B$31))/(F179*(1+F162)^IF(ISNUMBER(G93),MAX(0,G93-2027),0)*(1-0)))))</f>
        <v>76.3880925547083</v>
      </c>
      <c r="G184" s="25" t="n">
        <f aca="false">IF(NOT(ISNUMBER(G179)),"unresolved",IF(G180=0,G179,(G176+G180/(1+G162)^IF(ISNUMBER(G149),MAX(0,G149-2027),0))/(G178+(G180/(1-Inputs!$B$31))/(G179*(1+G162)^IF(ISNUMBER(G149),MAX(0,G149-2027),0)*(1-0)))))</f>
        <v>87.8345060962213</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76.3880925547083</v>
      </c>
      <c r="G185" s="25" t="n">
        <f aca="false">IF(NOT(ISNUMBER(G179)),"unresolved",IF(G180=0,G179,(G176+G180/(1+G162)^IF(ISNUMBER(G149),MAX(0,G149-2027),0))/(G178+(G180/(1-Inputs!$B$31))/(G179*(1+G162)^IF(ISNUMBER(G149),MAX(0,G149-2027),0)*(1-Inputs!$B$30)))))</f>
        <v>87.8345060962213</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76.3880925547083</v>
      </c>
      <c r="G186" s="25" t="n">
        <f aca="false">IF(NOT(ISNUMBER(G179)),"unresolved",IF(G180=0,G179,(G176+G180/(1+G162)^IF(ISNUMBER(G149),MAX(0,G149-2027),0))/(G178+(G180/(1-Inputs!$B$31))/(G179*(1+G162)^IF(ISNUMBER(G149),MAX(0,G149-2027),0)*(1-0.3)))))</f>
        <v>87.8345060962213</v>
      </c>
    </row>
    <row r="187" customFormat="false" ht="15" hidden="false" customHeight="true" outlineLevel="0" collapsed="false">
      <c r="A187" s="13" t="s">
        <v>666</v>
      </c>
      <c r="F187" s="25" t="n">
        <f aca="false">F185</f>
        <v>76.3880925547083</v>
      </c>
      <c r="G187" s="25" t="n">
        <f aca="false">G185</f>
        <v>87.8345060962213</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n">
        <f aca="false">IF(ISNUMBER(F187),F187/(1+Inputs!$B$25)^F188,"unresolved")</f>
        <v>76.3880925547083</v>
      </c>
      <c r="G189" s="12" t="n">
        <f aca="false">IF(ISNUMBER(G187),G187/(1+Inputs!$B$25)^G188,"unresolved")</f>
        <v>87.8345060962213</v>
      </c>
    </row>
    <row r="190" customFormat="false" ht="15" hidden="false" customHeight="true" outlineLevel="0" collapsed="false">
      <c r="A190" s="13" t="s">
        <v>669</v>
      </c>
      <c r="F190" s="25" t="n">
        <f aca="false">IF(F180=0,F189,"unresolved")</f>
        <v>76.3880925547083</v>
      </c>
      <c r="G190" s="25" t="n">
        <f aca="false">IF(G180=0,G189,"unresolved")</f>
        <v>87.8345060962213</v>
      </c>
    </row>
    <row r="191" customFormat="false" ht="15" hidden="false" customHeight="true" outlineLevel="0" collapsed="false">
      <c r="A191" s="13" t="s">
        <v>670</v>
      </c>
      <c r="F191" s="34" t="n">
        <f aca="false">IF(ISNUMBER(F179),F176+F180/(1+F162)^IF(ISNUMBER(G93),MAX(0,G93-2027),0),"unresolved")</f>
        <v>1367550.06127757</v>
      </c>
      <c r="G191" s="34" t="n">
        <f aca="false">IF(ISNUMBER(G179),G176+G180/(1+G162)^IF(ISNUMBER(G149),MAX(0,G149-2027),0),"unresolved")</f>
        <v>1572471.3129621</v>
      </c>
    </row>
    <row r="192" customFormat="false" ht="15" hidden="false" customHeight="true" outlineLevel="0" collapsed="false">
      <c r="A192" s="13" t="s">
        <v>671</v>
      </c>
      <c r="F192" s="28" t="n">
        <f aca="false">IFERROR(F191/D49,"n/a")</f>
        <v>12.6092614634282</v>
      </c>
      <c r="G192" s="28" t="n">
        <f aca="false">IFERROR(G191/D105,"n/a")</f>
        <v>14.2423406868636</v>
      </c>
    </row>
    <row r="193" customFormat="false" ht="15" hidden="false" customHeight="true" outlineLevel="0" collapsed="false">
      <c r="A193" s="13" t="s">
        <v>672</v>
      </c>
      <c r="F193" s="25" t="n">
        <f aca="false">(F168+F174)/F178</f>
        <v>81.9188648863534</v>
      </c>
      <c r="G193" s="25" t="n">
        <f aca="false">(G168+G174)/G178</f>
        <v>94.3725549039182</v>
      </c>
    </row>
    <row r="194" customFormat="false" ht="15" hidden="false" customHeight="true" outlineLevel="0" collapsed="false">
      <c r="A194" s="13" t="s">
        <v>673</v>
      </c>
      <c r="F194" s="25" t="n">
        <f aca="false">(F170+F174)/F178</f>
        <v>70.8573202230632</v>
      </c>
      <c r="G194" s="25" t="n">
        <f aca="false">(G170+G174)/G178</f>
        <v>81.2964572885244</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679</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Historicals!F35+(Inputs!$B$5+Inputs!$D$60)</f>
        <v>57228</v>
      </c>
      <c r="D5" s="34" t="n">
        <f aca="false">C5*(1+Inputs!$D$62)</f>
        <v>143070</v>
      </c>
      <c r="E5" s="34" t="n">
        <f aca="false">D5*(1+Inputs!$D$63)</f>
        <v>257526</v>
      </c>
      <c r="F5" s="34" t="n">
        <f aca="false">E5*(1+Inputs!$D$64)</f>
        <v>386289</v>
      </c>
      <c r="G5" s="34" t="n">
        <f aca="false">F5*(1+Inputs!$D$65)</f>
        <v>521490.15</v>
      </c>
    </row>
    <row r="6" customFormat="false" ht="15" hidden="false" customHeight="true" outlineLevel="0" collapsed="false">
      <c r="A6" s="13" t="s">
        <v>551</v>
      </c>
      <c r="C6" s="16" t="n">
        <f aca="false">IFERROR(C5/B5-1,0)</f>
        <v>11.4815703380589</v>
      </c>
      <c r="D6" s="16" t="n">
        <f aca="false">IFERROR(D5/C5-1,0)</f>
        <v>1.5</v>
      </c>
      <c r="E6" s="16" t="n">
        <f aca="false">IFERROR(E5/D5-1,0)</f>
        <v>0.8</v>
      </c>
      <c r="F6" s="16" t="n">
        <f aca="false">IFERROR(F5/E5-1,0)</f>
        <v>0.5</v>
      </c>
      <c r="G6" s="16" t="n">
        <f aca="false">IFERROR(G5/F5-1,0)</f>
        <v>0.35</v>
      </c>
    </row>
    <row r="7" customFormat="false" ht="15" hidden="false" customHeight="true" outlineLevel="0" collapsed="false">
      <c r="A7" s="13" t="s">
        <v>552</v>
      </c>
      <c r="B7" s="41" t="n">
        <f aca="false">Historicals!D51</f>
        <v>789</v>
      </c>
      <c r="C7" s="34" t="n">
        <f aca="false">Historicals!F51+(Inputs!$B$5+Inputs!$D$60)*Historicals!F51/Historicals!F35</f>
        <v>11321.9093700111</v>
      </c>
      <c r="D7" s="34" t="n">
        <f aca="false">D5*Inputs!$D$61</f>
        <v>25752.6</v>
      </c>
      <c r="E7" s="34" t="n">
        <f aca="false">E5*Inputs!$D$61</f>
        <v>46354.68</v>
      </c>
      <c r="F7" s="34" t="n">
        <f aca="false">F5*Inputs!$D$61</f>
        <v>69532.02</v>
      </c>
      <c r="G7" s="34" t="n">
        <f aca="false">G5*Inputs!$D$61</f>
        <v>93868.227</v>
      </c>
    </row>
    <row r="8" customFormat="false" ht="15" hidden="false" customHeight="true" outlineLevel="0" collapsed="false">
      <c r="A8" s="13" t="s">
        <v>553</v>
      </c>
      <c r="B8" s="34" t="n">
        <f aca="false">B5-B7</f>
        <v>3796</v>
      </c>
      <c r="C8" s="34" t="n">
        <f aca="false">C5-C7</f>
        <v>45906.090629989</v>
      </c>
      <c r="D8" s="34" t="n">
        <f aca="false">D5-D7</f>
        <v>117317.4</v>
      </c>
      <c r="E8" s="34" t="n">
        <f aca="false">E5-E7</f>
        <v>211171.32</v>
      </c>
      <c r="F8" s="34" t="n">
        <f aca="false">F5-F7</f>
        <v>316756.98</v>
      </c>
      <c r="G8" s="34" t="n">
        <f aca="false">G5-G7</f>
        <v>427621.923</v>
      </c>
    </row>
    <row r="10" customFormat="false" ht="15" hidden="false" customHeight="true" outlineLevel="0" collapsed="false">
      <c r="A10" s="13" t="s">
        <v>250</v>
      </c>
      <c r="B10" s="41" t="n">
        <f aca="false">Historicals!D36</f>
        <v>7326</v>
      </c>
      <c r="C10" s="34" t="n">
        <f aca="false">Historicals!F36+(Inputs!$B$5+Inputs!$D$60)*Inputs!$D$66</f>
        <v>26140.64</v>
      </c>
      <c r="D10" s="34" t="n">
        <f aca="false">C10*(1+Inputs!$D$67)</f>
        <v>49667.216</v>
      </c>
      <c r="E10" s="34" t="n">
        <f aca="false">D10*(1+Inputs!$D$68)</f>
        <v>79467.5456</v>
      </c>
      <c r="F10" s="34" t="n">
        <f aca="false">E10*(1+Inputs!$D$69)</f>
        <v>115227.94112</v>
      </c>
      <c r="G10" s="34" t="n">
        <f aca="false">F10*(1+Inputs!$D$70)</f>
        <v>149796.323456</v>
      </c>
    </row>
    <row r="11" customFormat="false" ht="15" hidden="false" customHeight="true" outlineLevel="0" collapsed="false">
      <c r="A11" s="13" t="s">
        <v>251</v>
      </c>
      <c r="B11" s="41" t="n">
        <f aca="false">Historicals!D37</f>
        <v>1839</v>
      </c>
      <c r="C11" s="34" t="n">
        <f aca="false">Historicals!F37+(Inputs!$B$5+Inputs!$D$60)*Historicals!G24</f>
        <v>9731.77446992644</v>
      </c>
      <c r="D11" s="34" t="n">
        <f aca="false">D5*Inputs!$D$71</f>
        <v>18599.1</v>
      </c>
      <c r="E11" s="34" t="n">
        <f aca="false">E5*Inputs!$D$72</f>
        <v>30903.12</v>
      </c>
      <c r="F11" s="34" t="n">
        <f aca="false">F5*Inputs!$D$73</f>
        <v>42491.79</v>
      </c>
      <c r="G11" s="34" t="n">
        <f aca="false">G5*Inputs!$D$74</f>
        <v>52149.015</v>
      </c>
    </row>
    <row r="12" customFormat="false" ht="15" hidden="false" customHeight="true" outlineLevel="0" collapsed="false">
      <c r="A12" s="13" t="s">
        <v>554</v>
      </c>
      <c r="B12" s="41" t="n">
        <f aca="false">Historicals!D49</f>
        <v>1158</v>
      </c>
      <c r="C12" s="34" t="n">
        <f aca="false">Historicals!F49+(Inputs!$B$5+Inputs!$D$60)*Historicals!G29</f>
        <v>6653.01055819991</v>
      </c>
      <c r="D12" s="34" t="n">
        <f aca="false">D5*Inputs!$D$75</f>
        <v>11445.6</v>
      </c>
      <c r="E12" s="34" t="n">
        <f aca="false">E5*Inputs!$D$76</f>
        <v>18026.82</v>
      </c>
      <c r="F12" s="34" t="n">
        <f aca="false">F5*Inputs!$D$77</f>
        <v>23177.34</v>
      </c>
      <c r="G12" s="34" t="n">
        <f aca="false">G5*Inputs!$D$78</f>
        <v>26074.5075</v>
      </c>
    </row>
    <row r="13" customFormat="false" ht="15" hidden="false" customHeight="true" outlineLevel="0" collapsed="false">
      <c r="A13" s="13" t="s">
        <v>555</v>
      </c>
      <c r="B13" s="41" t="n">
        <f aca="false">Historicals!D39</f>
        <v>568</v>
      </c>
      <c r="C13" s="34" t="n">
        <f aca="false">Historicals!F39+(Inputs!$B$5+Inputs!$D$60)*Historicals!G25</f>
        <v>10732.7918649935</v>
      </c>
      <c r="D13" s="34" t="n">
        <f aca="false">D5*Inputs!$D$79</f>
        <v>22891.2</v>
      </c>
      <c r="E13" s="34" t="n">
        <f aca="false">E5*Inputs!$D$80</f>
        <v>38628.9</v>
      </c>
      <c r="F13" s="34" t="n">
        <f aca="false">F5*Inputs!$D$81</f>
        <v>54080.46</v>
      </c>
      <c r="G13" s="34" t="n">
        <f aca="false">G5*Inputs!$D$82</f>
        <v>67793.7195</v>
      </c>
    </row>
    <row r="14" customFormat="false" ht="15" hidden="false" customHeight="true" outlineLevel="0" collapsed="false">
      <c r="A14" s="13" t="s">
        <v>556</v>
      </c>
      <c r="B14" s="41" t="n">
        <f aca="false">Historicals!D40</f>
        <v>1412</v>
      </c>
      <c r="C14" s="34" t="n">
        <f aca="false">Historicals!F40+(Inputs!$B$5+Inputs!$D$60)*Historicals!G26</f>
        <v>5367.06810904371</v>
      </c>
      <c r="D14" s="34" t="n">
        <f aca="false">D5*Inputs!$D$83</f>
        <v>10014.9</v>
      </c>
      <c r="E14" s="34" t="n">
        <f aca="false">E5*Inputs!$D$84</f>
        <v>15451.56</v>
      </c>
      <c r="F14" s="34" t="n">
        <f aca="false">F5*Inputs!$D$85</f>
        <v>19314.45</v>
      </c>
      <c r="G14" s="34" t="n">
        <f aca="false">G5*Inputs!$D$86</f>
        <v>26074.5075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53972.2744439637</v>
      </c>
      <c r="D16" s="36" t="n">
        <f aca="false">D10+D11+D13+D14+D15</f>
        <v>101172.416</v>
      </c>
      <c r="E16" s="36" t="n">
        <f aca="false">E10+E11+E13+E14+E15</f>
        <v>164451.1256</v>
      </c>
      <c r="F16" s="36" t="n">
        <f aca="false">F10+F11+F13+F14+F15</f>
        <v>231114.64112</v>
      </c>
      <c r="G16" s="36" t="n">
        <f aca="false">G10+G11+G13+G14+G15</f>
        <v>295813.565456</v>
      </c>
    </row>
    <row r="17" customFormat="false" ht="15" hidden="false" customHeight="true" outlineLevel="0" collapsed="false">
      <c r="A17" s="10" t="s">
        <v>558</v>
      </c>
      <c r="B17" s="35" t="n">
        <f aca="false">B5-B16</f>
        <v>-8060</v>
      </c>
      <c r="C17" s="35" t="n">
        <f aca="false">C5-C16</f>
        <v>3255.72555603635</v>
      </c>
      <c r="D17" s="35" t="n">
        <f aca="false">D5-D16</f>
        <v>41897.584</v>
      </c>
      <c r="E17" s="35" t="n">
        <f aca="false">E5-E16</f>
        <v>93074.8744</v>
      </c>
      <c r="F17" s="35" t="n">
        <f aca="false">F5-F16</f>
        <v>155174.35888</v>
      </c>
      <c r="G17" s="35" t="n">
        <f aca="false">G5-G16</f>
        <v>225676.584544</v>
      </c>
    </row>
    <row r="18" customFormat="false" ht="15" hidden="false" customHeight="true" outlineLevel="0" collapsed="false">
      <c r="A18" s="13" t="s">
        <v>559</v>
      </c>
      <c r="B18" s="16" t="n">
        <f aca="false">IFERROR(B17/B5,0)</f>
        <v>-1.75790621592148</v>
      </c>
      <c r="C18" s="16" t="n">
        <f aca="false">IFERROR(C17/C5,0)</f>
        <v>0.0568904304892072</v>
      </c>
      <c r="D18" s="16" t="n">
        <f aca="false">IFERROR(D17/D5,0)</f>
        <v>0.292846746347942</v>
      </c>
      <c r="E18" s="16" t="n">
        <f aca="false">IFERROR(E17/E5,0)</f>
        <v>0.361419330087059</v>
      </c>
      <c r="F18" s="16" t="n">
        <f aca="false">IFERROR(F17/F5,0)</f>
        <v>0.401705352417491</v>
      </c>
      <c r="G18" s="16" t="n">
        <f aca="false">IFERROR(G17/G5,0)</f>
        <v>0.432753302327954</v>
      </c>
    </row>
    <row r="19" customFormat="false" ht="15" hidden="false" customHeight="true" outlineLevel="0" collapsed="false">
      <c r="A19" s="13" t="s">
        <v>560</v>
      </c>
      <c r="B19" s="16" t="n">
        <f aca="false">IFERROR(B10/B5,0)</f>
        <v>1.59781897491821</v>
      </c>
      <c r="C19" s="16" t="n">
        <f aca="false">IFERROR(C10/C5,0)</f>
        <v>0.456780596910603</v>
      </c>
      <c r="D19" s="16" t="n">
        <f aca="false">IFERROR(D10/D5,0)</f>
        <v>0.347153253652058</v>
      </c>
      <c r="E19" s="16" t="n">
        <f aca="false">IFERROR(E10/E5,0)</f>
        <v>0.308580669912941</v>
      </c>
      <c r="F19" s="16" t="n">
        <f aca="false">IFERROR(F10/F5,0)</f>
        <v>0.298294647582509</v>
      </c>
      <c r="G19" s="16" t="n">
        <f aca="false">IFERROR(G10/G5,0)</f>
        <v>0.287246697672046</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1/(1+Inputs!$B$19+Inputs!$D$89)^1</f>
        <v>0.892857142857143</v>
      </c>
      <c r="E21" s="52" t="n">
        <f aca="false">1/(1+Inputs!$B$19+Inputs!$D$89)^2</f>
        <v>0.79719387755102</v>
      </c>
      <c r="F21" s="52" t="n">
        <f aca="false">1/(1+Inputs!$B$19+Inputs!$D$89)^3</f>
        <v>0.711780247813411</v>
      </c>
      <c r="G21" s="52" t="n">
        <f aca="false">1/(1+Inputs!$B$19+Inputs!$D$89)^4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Inputs!$D$97</f>
        <v>0.04</v>
      </c>
      <c r="E24" s="19" t="n">
        <f aca="false">Inputs!$D$98</f>
        <v>0.1</v>
      </c>
      <c r="F24" s="19" t="n">
        <f aca="false">Inputs!$D$99</f>
        <v>0.18</v>
      </c>
      <c r="G24" s="19" t="n">
        <f aca="false">Inputs!$D$100</f>
        <v>0.25</v>
      </c>
    </row>
    <row r="25" customFormat="false" ht="15" hidden="false" customHeight="true" outlineLevel="0" collapsed="false">
      <c r="A25" s="13" t="s">
        <v>565</v>
      </c>
      <c r="C25" s="34" t="n">
        <f aca="false">C5*C24</f>
        <v>0</v>
      </c>
      <c r="D25" s="34" t="n">
        <f aca="false">D5*D24</f>
        <v>5722.8</v>
      </c>
      <c r="E25" s="34" t="n">
        <f aca="false">E5*E24</f>
        <v>25752.6</v>
      </c>
      <c r="F25" s="34" t="n">
        <f aca="false">F5*F24</f>
        <v>69532.02</v>
      </c>
      <c r="G25" s="34" t="n">
        <f aca="false">G5*G24</f>
        <v>130372.5375</v>
      </c>
    </row>
    <row r="26" customFormat="false" ht="15" hidden="false" customHeight="true" outlineLevel="0" collapsed="false">
      <c r="A26" s="13" t="s">
        <v>566</v>
      </c>
      <c r="C26" s="53" t="n">
        <f aca="false">Inputs!$D$101</f>
        <v>12</v>
      </c>
      <c r="D26" s="53" t="n">
        <f aca="false">Inputs!$D$101</f>
        <v>12</v>
      </c>
      <c r="E26" s="53" t="n">
        <f aca="false">Inputs!$D$101</f>
        <v>12</v>
      </c>
      <c r="F26" s="53" t="n">
        <f aca="false">Inputs!$D$101</f>
        <v>12</v>
      </c>
      <c r="G26" s="53" t="n">
        <f aca="false">Inputs!$D$101</f>
        <v>12</v>
      </c>
    </row>
    <row r="27" customFormat="false" ht="15" hidden="false" customHeight="true" outlineLevel="0" collapsed="false">
      <c r="A27" s="13" t="s">
        <v>567</v>
      </c>
      <c r="C27" s="34" t="n">
        <f aca="false">C25*C26</f>
        <v>0</v>
      </c>
      <c r="D27" s="34" t="n">
        <f aca="false">D25*D26</f>
        <v>68673.6</v>
      </c>
      <c r="E27" s="34" t="n">
        <f aca="false">E25*E26</f>
        <v>309031.2</v>
      </c>
      <c r="F27" s="34" t="n">
        <f aca="false">F25*F26</f>
        <v>834384.24</v>
      </c>
      <c r="G27" s="34" t="n">
        <f aca="false">G25*G26</f>
        <v>1564470.45</v>
      </c>
    </row>
    <row r="28" customFormat="false" ht="15" hidden="false" customHeight="true" outlineLevel="0" collapsed="false">
      <c r="A28" s="13" t="s">
        <v>568</v>
      </c>
      <c r="C28" s="19" t="n">
        <f aca="false">Inputs!$D$102</f>
        <v>0.2</v>
      </c>
      <c r="D28" s="19" t="n">
        <f aca="false">Inputs!$D$102</f>
        <v>0.2</v>
      </c>
      <c r="E28" s="19" t="n">
        <f aca="false">Inputs!$D$102</f>
        <v>0.2</v>
      </c>
      <c r="F28" s="19" t="n">
        <f aca="false">Inputs!$D$102</f>
        <v>0.2</v>
      </c>
      <c r="G28" s="19" t="n">
        <f aca="false">Inputs!$D$102</f>
        <v>0.2</v>
      </c>
    </row>
    <row r="29" customFormat="false" ht="15" hidden="false" customHeight="true" outlineLevel="0" collapsed="false">
      <c r="A29" s="10" t="s">
        <v>569</v>
      </c>
      <c r="C29" s="36" t="n">
        <f aca="false">C27*C28</f>
        <v>0</v>
      </c>
      <c r="D29" s="36" t="n">
        <f aca="false">D27*D28</f>
        <v>13734.72</v>
      </c>
      <c r="E29" s="36" t="n">
        <f aca="false">E27*E28</f>
        <v>61806.24</v>
      </c>
      <c r="F29" s="36" t="n">
        <f aca="false">F27*F28</f>
        <v>166876.848</v>
      </c>
      <c r="G29" s="36" t="n">
        <f aca="false">G27*G28</f>
        <v>312894.09</v>
      </c>
    </row>
    <row r="30" customFormat="false" ht="15" hidden="false" customHeight="true" outlineLevel="0" collapsed="false">
      <c r="A30" s="13" t="s">
        <v>570</v>
      </c>
      <c r="C30" s="34" t="n">
        <f aca="false">C25*Inputs!$D$103</f>
        <v>0</v>
      </c>
      <c r="D30" s="34" t="n">
        <f aca="false">D25*Inputs!$D$103</f>
        <v>1144.56</v>
      </c>
      <c r="E30" s="34" t="n">
        <f aca="false">E25*Inputs!$D$103</f>
        <v>5150.52</v>
      </c>
      <c r="F30" s="34" t="n">
        <f aca="false">F25*Inputs!$D$103</f>
        <v>13906.404</v>
      </c>
      <c r="G30" s="34" t="n">
        <f aca="false">G25*Inputs!$D$103</f>
        <v>26074.5075</v>
      </c>
    </row>
    <row r="31" customFormat="false" ht="15" hidden="false" customHeight="true" outlineLevel="0" collapsed="false">
      <c r="A31" s="13" t="s">
        <v>571</v>
      </c>
      <c r="C31" s="34" t="n">
        <f aca="false">C29-C30</f>
        <v>0</v>
      </c>
      <c r="D31" s="34" t="n">
        <f aca="false">D29-D30</f>
        <v>12590.16</v>
      </c>
      <c r="E31" s="34" t="n">
        <f aca="false">E29-E30</f>
        <v>56655.72</v>
      </c>
      <c r="F31" s="34" t="n">
        <f aca="false">F29-F30</f>
        <v>152970.444</v>
      </c>
      <c r="G31" s="34" t="n">
        <f aca="false">G29-G30</f>
        <v>286819.5825</v>
      </c>
    </row>
    <row r="32" customFormat="false" ht="15" hidden="false" customHeight="true" outlineLevel="0" collapsed="false">
      <c r="A32" s="13" t="s">
        <v>572</v>
      </c>
      <c r="C32" s="34" t="n">
        <f aca="false">C29*Inputs!$D$104</f>
        <v>0</v>
      </c>
      <c r="D32" s="34" t="n">
        <f aca="false">D29*Inputs!$D$104</f>
        <v>2060.208</v>
      </c>
      <c r="E32" s="34" t="n">
        <f aca="false">E29*Inputs!$D$104</f>
        <v>9270.936</v>
      </c>
      <c r="F32" s="34" t="n">
        <f aca="false">F29*Inputs!$D$104</f>
        <v>25031.5272</v>
      </c>
      <c r="G32" s="34" t="n">
        <f aca="false">G29*Inputs!$D$104</f>
        <v>46934.1135</v>
      </c>
    </row>
    <row r="33" customFormat="false" ht="15" hidden="false" customHeight="true" outlineLevel="0" collapsed="false">
      <c r="A33" s="13" t="s">
        <v>573</v>
      </c>
      <c r="C33" s="34" t="n">
        <f aca="false">C29*Inputs!$D$105</f>
        <v>0</v>
      </c>
      <c r="D33" s="34" t="n">
        <f aca="false">D29*Inputs!$D$105</f>
        <v>1373.472</v>
      </c>
      <c r="E33" s="34" t="n">
        <f aca="false">E29*Inputs!$D$105</f>
        <v>6180.624</v>
      </c>
      <c r="F33" s="34" t="n">
        <f aca="false">F29*Inputs!$D$105</f>
        <v>16687.6848</v>
      </c>
      <c r="G33" s="34" t="n">
        <f aca="false">G29*Inputs!$D$105</f>
        <v>31289.409</v>
      </c>
    </row>
    <row r="34" customFormat="false" ht="15" hidden="false" customHeight="true" outlineLevel="0" collapsed="false">
      <c r="A34" s="13" t="s">
        <v>574</v>
      </c>
      <c r="C34" s="34" t="n">
        <f aca="false">C29*Inputs!$D$106</f>
        <v>0</v>
      </c>
      <c r="D34" s="34" t="n">
        <f aca="false">D29*Inputs!$D$106</f>
        <v>1098.7776</v>
      </c>
      <c r="E34" s="34" t="n">
        <f aca="false">E29*Inputs!$D$106</f>
        <v>4944.4992</v>
      </c>
      <c r="F34" s="34" t="n">
        <f aca="false">F29*Inputs!$D$106</f>
        <v>13350.14784</v>
      </c>
      <c r="G34" s="34" t="n">
        <f aca="false">G29*Inputs!$D$106</f>
        <v>25031.5272</v>
      </c>
    </row>
    <row r="35" customFormat="false" ht="15" hidden="false" customHeight="true" outlineLevel="0" collapsed="false">
      <c r="A35" s="10" t="s">
        <v>575</v>
      </c>
      <c r="C35" s="35" t="n">
        <f aca="false">C29-C30-C32-C33-C34</f>
        <v>0</v>
      </c>
      <c r="D35" s="35" t="n">
        <f aca="false">D29-D30-D32-D33-D34</f>
        <v>8057.7024</v>
      </c>
      <c r="E35" s="35" t="n">
        <f aca="false">E29-E30-E32-E33-E34</f>
        <v>36259.6608</v>
      </c>
      <c r="F35" s="35" t="n">
        <f aca="false">F29-F30-F32-F33-F34</f>
        <v>97901.08416</v>
      </c>
      <c r="G35" s="35" t="n">
        <f aca="false">G29-G30-G32-G33-G34</f>
        <v>183564.5328</v>
      </c>
    </row>
    <row r="36" customFormat="false" ht="15" hidden="false" customHeight="true" outlineLevel="0" collapsed="false">
      <c r="A36" s="13" t="s">
        <v>91</v>
      </c>
      <c r="C36" s="54" t="n">
        <f aca="false">IFERROR(C27/Inputs!$B$27,0)</f>
        <v>0</v>
      </c>
      <c r="D36" s="54" t="n">
        <f aca="false">IFERROR(D27/Inputs!$B$27,0)</f>
        <v>0.00171684</v>
      </c>
      <c r="E36" s="54" t="n">
        <f aca="false">IFERROR(E27/Inputs!$B$27,0)</f>
        <v>0.00772578</v>
      </c>
      <c r="F36" s="54" t="n">
        <f aca="false">IFERROR(F27/Inputs!$B$27,0)</f>
        <v>0.020859606</v>
      </c>
      <c r="G36" s="54" t="n">
        <f aca="false">IFERROR(G27/Inputs!$B$27,0)</f>
        <v>0.03911176125</v>
      </c>
    </row>
    <row r="37" customFormat="false" ht="15" hidden="false" customHeight="true" outlineLevel="0" collapsed="false">
      <c r="A37" s="13" t="s">
        <v>576</v>
      </c>
      <c r="C37" s="34" t="n">
        <f aca="false">CHOOSE(Inputs!$B$35,C31*Inputs!B$55,C29*Inputs!$B$36,0)</f>
        <v>0</v>
      </c>
      <c r="D37" s="34" t="n">
        <f aca="false">CHOOSE(Inputs!$B$35,D31*Inputs!C$55,D29*Inputs!$B$36,0)</f>
        <v>503.6064</v>
      </c>
      <c r="E37" s="34" t="n">
        <f aca="false">CHOOSE(Inputs!$B$35,E31*Inputs!D$55,E29*Inputs!$B$36,0)</f>
        <v>2832.786</v>
      </c>
      <c r="F37" s="34" t="n">
        <f aca="false">CHOOSE(Inputs!$B$35,F31*Inputs!E$55,F29*Inputs!$B$36,0)</f>
        <v>7648.5222</v>
      </c>
      <c r="G37" s="34" t="n">
        <f aca="false">CHOOSE(Inputs!$B$35,G31*Inputs!F$55,G29*Inputs!$B$36,0)</f>
        <v>14340.979125</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Inputs!$D$92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26140.64</v>
      </c>
      <c r="D44" s="34" t="n">
        <f aca="false">D10*Inputs!$B$39</f>
        <v>49667.216</v>
      </c>
      <c r="E44" s="34" t="n">
        <f aca="false">E10*Inputs!$B$39</f>
        <v>79467.5456</v>
      </c>
      <c r="F44" s="34" t="n">
        <f aca="false">F10*Inputs!$B$39</f>
        <v>115227.94112</v>
      </c>
      <c r="G44" s="34" t="n">
        <f aca="false">G10*Inputs!$B$39</f>
        <v>149796.323456</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57228</v>
      </c>
      <c r="D49" s="34" t="n">
        <f aca="false">D5</f>
        <v>143070</v>
      </c>
      <c r="E49" s="34" t="n">
        <f aca="false">E5</f>
        <v>257526</v>
      </c>
      <c r="F49" s="34" t="n">
        <f aca="false">F5</f>
        <v>386289</v>
      </c>
      <c r="G49" s="34" t="n">
        <f aca="false">G5</f>
        <v>521490.15</v>
      </c>
    </row>
    <row r="50" customFormat="false" ht="15" hidden="false" customHeight="true" outlineLevel="0" collapsed="false">
      <c r="A50" s="13" t="s">
        <v>558</v>
      </c>
      <c r="C50" s="34" t="n">
        <f aca="false">C17</f>
        <v>3255.72555603635</v>
      </c>
      <c r="D50" s="34" t="n">
        <f aca="false">D17</f>
        <v>41897.584</v>
      </c>
      <c r="E50" s="34" t="n">
        <f aca="false">E17</f>
        <v>93074.8744</v>
      </c>
      <c r="F50" s="34" t="n">
        <f aca="false">F17</f>
        <v>155174.35888</v>
      </c>
      <c r="G50" s="34" t="n">
        <f aca="false">G17</f>
        <v>225676.584544</v>
      </c>
    </row>
    <row r="51" customFormat="false" ht="15" hidden="false" customHeight="true" outlineLevel="0" collapsed="false">
      <c r="A51" s="13" t="s">
        <v>586</v>
      </c>
      <c r="C51" s="34" t="n">
        <f aca="false">C5*Inputs!B$55</f>
        <v>1716.84</v>
      </c>
      <c r="D51" s="34" t="n">
        <f aca="false">D5*Inputs!C$55</f>
        <v>5722.8</v>
      </c>
      <c r="E51" s="34" t="n">
        <f aca="false">E5*Inputs!D$55</f>
        <v>12876.3</v>
      </c>
      <c r="F51" s="34" t="n">
        <f aca="false">F5*Inputs!E$55</f>
        <v>19314.45</v>
      </c>
      <c r="G51" s="34" t="n">
        <f aca="false">G5*Inputs!F$55</f>
        <v>26074.5075</v>
      </c>
    </row>
    <row r="52" customFormat="false" ht="15" hidden="false" customHeight="true" outlineLevel="0" collapsed="false">
      <c r="A52" s="13" t="s">
        <v>587</v>
      </c>
      <c r="C52" s="33" t="n">
        <v>0</v>
      </c>
      <c r="D52" s="34" t="n">
        <f aca="false">SUMPRODUCT($D51:D51,--((4-COLUMN($D51:D51))&lt;Inputs!$B$32))/Inputs!$B$32</f>
        <v>1144.56</v>
      </c>
      <c r="E52" s="34" t="n">
        <f aca="false">SUMPRODUCT($D51:E51,--((5-COLUMN($D51:E51))&lt;Inputs!$B$32))/Inputs!$B$32</f>
        <v>3719.82</v>
      </c>
      <c r="F52" s="34" t="n">
        <f aca="false">SUMPRODUCT($D51:F51,--((6-COLUMN($D51:F51))&lt;Inputs!$B$32))/Inputs!$B$32</f>
        <v>7582.71</v>
      </c>
      <c r="G52" s="34" t="n">
        <f aca="false">SUMPRODUCT($D51:G51,--((7-COLUMN($D51:G51))&lt;Inputs!$B$32))/Inputs!$B$32</f>
        <v>12797.6115</v>
      </c>
    </row>
    <row r="53" customFormat="false" ht="15" hidden="false" customHeight="true" outlineLevel="0" collapsed="false">
      <c r="A53" s="10" t="s">
        <v>588</v>
      </c>
      <c r="C53" s="36" t="n">
        <f aca="false">C50-C52</f>
        <v>3255.72555603635</v>
      </c>
      <c r="D53" s="36" t="n">
        <f aca="false">D50-D52</f>
        <v>40753.024</v>
      </c>
      <c r="E53" s="36" t="n">
        <f aca="false">E50-E52</f>
        <v>89355.0544</v>
      </c>
      <c r="F53" s="36" t="n">
        <f aca="false">F50-F52</f>
        <v>147591.64888</v>
      </c>
      <c r="G53" s="36" t="n">
        <f aca="false">G50-G52</f>
        <v>212878.973044</v>
      </c>
    </row>
    <row r="54" customFormat="false" ht="15" hidden="false" customHeight="true" outlineLevel="0" collapsed="false">
      <c r="A54" s="13" t="s">
        <v>589</v>
      </c>
      <c r="C54" s="16" t="n">
        <f aca="false">IFERROR(C53/C49,0)</f>
        <v>0.0568904304892072</v>
      </c>
      <c r="D54" s="16" t="n">
        <f aca="false">IFERROR(D53/D49,0)</f>
        <v>0.284846746347942</v>
      </c>
      <c r="E54" s="16" t="n">
        <f aca="false">IFERROR(E53/E49,0)</f>
        <v>0.346974885642615</v>
      </c>
      <c r="F54" s="16" t="n">
        <f aca="false">IFERROR(F53/F49,0)</f>
        <v>0.382075722787861</v>
      </c>
      <c r="G54" s="16" t="n">
        <f aca="false">IFERROR(G53/G49,0)</f>
        <v>0.408212835935636</v>
      </c>
    </row>
    <row r="55" customFormat="false" ht="15" hidden="false" customHeight="true" outlineLevel="0" collapsed="false">
      <c r="A55" s="13" t="s">
        <v>590</v>
      </c>
      <c r="C55" s="34" t="n">
        <f aca="false">Historicals!F43+C80*Inputs!$B$20/2</f>
        <v>2756.6375</v>
      </c>
      <c r="D55" s="34" t="n">
        <f aca="false">MAX(0,D80-D81)*Inputs!$B$20</f>
        <v>3549.95472783477</v>
      </c>
      <c r="E55" s="34" t="n">
        <f aca="false">MAX(0,E80-E81)*Inputs!$B$20</f>
        <v>4582.68921457645</v>
      </c>
      <c r="F55" s="34" t="n">
        <f aca="false">MAX(0,F80-F81)*Inputs!$B$20</f>
        <v>6579.57046811238</v>
      </c>
      <c r="G55" s="34" t="n">
        <f aca="false">MAX(0,G80-G81)*Inputs!$B$20</f>
        <v>9779.05316588979</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6012.36305603635</v>
      </c>
      <c r="D58" s="34" t="n">
        <f aca="false">D53+D55+D56-D57</f>
        <v>44302.9787278348</v>
      </c>
      <c r="E58" s="34" t="n">
        <f aca="false">E53+E55+E56-E57</f>
        <v>93937.7436145765</v>
      </c>
      <c r="F58" s="34" t="n">
        <f aca="false">F53+F55+F56-F57</f>
        <v>154171.219348112</v>
      </c>
      <c r="G58" s="34" t="n">
        <f aca="false">G53+G55+G56-G57</f>
        <v>222658.02620989</v>
      </c>
    </row>
    <row r="59" customFormat="false" ht="15" hidden="false" customHeight="true" outlineLevel="0" collapsed="false">
      <c r="A59" s="13" t="s">
        <v>594</v>
      </c>
      <c r="C59" s="34" t="n">
        <f aca="false">C58*Inputs!$B$46</f>
        <v>4328.90140034617</v>
      </c>
      <c r="D59" s="34" t="n">
        <f aca="false">D58*Inputs!$B$46</f>
        <v>31898.144684041</v>
      </c>
      <c r="E59" s="34" t="n">
        <f aca="false">E58*Inputs!$B$46</f>
        <v>67635.1754024951</v>
      </c>
      <c r="F59" s="34" t="n">
        <f aca="false">F58*Inputs!$B$46</f>
        <v>111003.277930641</v>
      </c>
      <c r="G59" s="34" t="n">
        <f aca="false">G58*Inputs!$B$46</f>
        <v>160313.778871121</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259.73408402077</v>
      </c>
      <c r="D63" s="34" t="n">
        <f aca="false">MAX(0,D59-D61)*Inputs!$B$47</f>
        <v>1661.88868104246</v>
      </c>
      <c r="E63" s="34" t="n">
        <f aca="false">MAX(0,E59-E61)*Inputs!$B$47</f>
        <v>4058.1105241497</v>
      </c>
      <c r="F63" s="34" t="n">
        <f aca="false">MAX(0,F59-F61)*Inputs!$B$47</f>
        <v>6660.19667583846</v>
      </c>
      <c r="G63" s="34" t="n">
        <f aca="false">MAX(0,G59-G61)*Inputs!$B$47</f>
        <v>9618.82673226724</v>
      </c>
    </row>
    <row r="64" customFormat="false" ht="15" hidden="false" customHeight="true" outlineLevel="0" collapsed="false">
      <c r="A64" s="13" t="s">
        <v>599</v>
      </c>
      <c r="C64" s="34" t="n">
        <f aca="false">C58-C63</f>
        <v>5752.62897201558</v>
      </c>
      <c r="D64" s="34" t="n">
        <f aca="false">D58-D63</f>
        <v>42641.0900467923</v>
      </c>
      <c r="E64" s="34" t="n">
        <f aca="false">E58-E63</f>
        <v>89879.6330904268</v>
      </c>
      <c r="F64" s="34" t="n">
        <f aca="false">F58-F63</f>
        <v>147511.022672274</v>
      </c>
      <c r="G64" s="34" t="n">
        <f aca="false">G58-G63</f>
        <v>213039.199477623</v>
      </c>
    </row>
    <row r="65" customFormat="false" ht="15" hidden="false" customHeight="true" outlineLevel="0" collapsed="false">
      <c r="A65" s="13" t="s">
        <v>600</v>
      </c>
      <c r="C65" s="34" t="n">
        <f aca="false">Inputs!$B$44</f>
        <v>8200</v>
      </c>
      <c r="D65" s="34" t="n">
        <f aca="false">C67</f>
        <v>3597.89682238754</v>
      </c>
      <c r="E65" s="34" t="n">
        <f aca="false">D67</f>
        <v>0</v>
      </c>
      <c r="F65" s="34" t="n">
        <f aca="false">E67</f>
        <v>0</v>
      </c>
      <c r="G65" s="34" t="n">
        <f aca="false">F67</f>
        <v>0</v>
      </c>
    </row>
    <row r="66" customFormat="false" ht="15" hidden="false" customHeight="true" outlineLevel="0" collapsed="false">
      <c r="A66" s="13" t="s">
        <v>601</v>
      </c>
      <c r="C66" s="34" t="n">
        <f aca="false">MIN(C65,Inputs!$B$45*MAX(0,C64))</f>
        <v>4602.10317761246</v>
      </c>
      <c r="D66" s="34" t="n">
        <f aca="false">MIN(D65,Inputs!$B$45*MAX(0,D64))</f>
        <v>3597.89682238754</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3597.89682238754</v>
      </c>
      <c r="D67" s="34" t="n">
        <f aca="false">D65-D66+MAX(0,-D64)</f>
        <v>0</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241.610416824654</v>
      </c>
      <c r="D68" s="34" t="n">
        <f aca="false">MAX(0,D64-D66)*Inputs!$B$43</f>
        <v>8199.07057712501</v>
      </c>
      <c r="E68" s="34" t="n">
        <f aca="false">MAX(0,E64-E66)*Inputs!$B$43</f>
        <v>18874.7229489896</v>
      </c>
      <c r="F68" s="34" t="n">
        <f aca="false">MAX(0,F64-F66)*Inputs!$B$43</f>
        <v>30977.3147611775</v>
      </c>
      <c r="G68" s="34" t="n">
        <f aca="false">MAX(0,G64-G66)*Inputs!$B$43</f>
        <v>44738.2318903007</v>
      </c>
    </row>
    <row r="69" customFormat="false" ht="15" hidden="false" customHeight="true" outlineLevel="0" collapsed="false">
      <c r="A69" s="10" t="s">
        <v>604</v>
      </c>
      <c r="C69" s="36" t="n">
        <f aca="false">IF(Inputs!$D$90=0,MAX(0,C53+C55)*Inputs!B$54,IF(Inputs!$D$90=2,MAX(0,C58)*Inputs!$D$91,C63+C68))</f>
        <v>501.344500845425</v>
      </c>
      <c r="D69" s="36" t="n">
        <f aca="false">IF(Inputs!$D$90=0,MAX(0,D53+D55)*Inputs!C$54,IF(Inputs!$D$90=2,MAX(0,D58)*Inputs!$D$91,D63+D68))</f>
        <v>9860.95925816747</v>
      </c>
      <c r="E69" s="36" t="n">
        <f aca="false">IF(Inputs!$D$90=0,MAX(0,E53+E55)*Inputs!D$54,IF(Inputs!$D$90=2,MAX(0,E58)*Inputs!$D$91,E63+E68))</f>
        <v>22932.8334731393</v>
      </c>
      <c r="F69" s="36" t="n">
        <f aca="false">IF(Inputs!$D$90=0,MAX(0,F53+F55)*Inputs!E$54,IF(Inputs!$D$90=2,MAX(0,F58)*Inputs!$D$91,F63+F68))</f>
        <v>37637.511437016</v>
      </c>
      <c r="G69" s="36" t="n">
        <f aca="false">IF(Inputs!$D$90=0,MAX(0,G53+G55)*Inputs!F$54,IF(Inputs!$D$90=2,MAX(0,G58)*Inputs!$D$91,G63+G68))</f>
        <v>54357.058622568</v>
      </c>
    </row>
    <row r="70" customFormat="false" ht="15" hidden="false" customHeight="true" outlineLevel="0" collapsed="false">
      <c r="A70" s="13" t="s">
        <v>605</v>
      </c>
      <c r="C70" s="16" t="n">
        <f aca="false">IF(C58&gt;0,MIN(1,C69/C58),0)</f>
        <v>0.0833856</v>
      </c>
      <c r="D70" s="16" t="n">
        <f aca="false">IF(D58&gt;0,MIN(1,D69/D58),0)</f>
        <v>0.222580050852698</v>
      </c>
      <c r="E70" s="16" t="n">
        <f aca="false">IF(E58&gt;0,MIN(1,E69/E58),0)</f>
        <v>0.244128</v>
      </c>
      <c r="F70" s="16" t="n">
        <f aca="false">IF(F58&gt;0,MIN(1,F69/F58),0)</f>
        <v>0.244128</v>
      </c>
      <c r="G70" s="16" t="n">
        <f aca="false">IF(G58&gt;0,MIN(1,G69/G58),0)</f>
        <v>0.244128</v>
      </c>
    </row>
    <row r="71" customFormat="false" ht="15" hidden="false" customHeight="true" outlineLevel="0" collapsed="false">
      <c r="A71" s="13" t="s">
        <v>606</v>
      </c>
      <c r="C71" s="34" t="n">
        <f aca="false">C53+C55-C69</f>
        <v>5511.01855519092</v>
      </c>
      <c r="D71" s="34" t="n">
        <f aca="false">D53+D55-D69</f>
        <v>34442.0194696673</v>
      </c>
      <c r="E71" s="34" t="n">
        <f aca="false">E53+E55-E69</f>
        <v>71004.9101414371</v>
      </c>
      <c r="F71" s="34" t="n">
        <f aca="false">F53+F55-F69</f>
        <v>116533.707911096</v>
      </c>
      <c r="G71" s="34" t="n">
        <f aca="false">G53+G55-G69</f>
        <v>168300.967587322</v>
      </c>
    </row>
    <row r="72" customFormat="false" ht="15" hidden="false" customHeight="true" outlineLevel="0" collapsed="false">
      <c r="A72" s="13" t="s">
        <v>607</v>
      </c>
      <c r="C72" s="34" t="n">
        <f aca="false">C12+C20</f>
        <v>8779.01055819991</v>
      </c>
      <c r="D72" s="34" t="n">
        <f aca="false">D12+D20</f>
        <v>11445.6</v>
      </c>
      <c r="E72" s="34" t="n">
        <f aca="false">E12+E20</f>
        <v>18026.82</v>
      </c>
      <c r="F72" s="34" t="n">
        <f aca="false">F12+F20</f>
        <v>23177.34</v>
      </c>
      <c r="G72" s="34" t="n">
        <f aca="false">G12+G20</f>
        <v>26074.5075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12573.1891133908</v>
      </c>
      <c r="D75" s="36" t="n">
        <f aca="false">D53+D72+D52+D55-D69-D51+D73+D74</f>
        <v>41309.3794696673</v>
      </c>
      <c r="E75" s="36" t="n">
        <f aca="false">E53+E72+E52+E55-E69-E51+E73+E74</f>
        <v>79875.2501414372</v>
      </c>
      <c r="F75" s="36" t="n">
        <f aca="false">F53+F72+F52+F55-F69-F51+F73+F74</f>
        <v>127979.307911096</v>
      </c>
      <c r="G75" s="36" t="n">
        <f aca="false">G53+G72+G52+G55-G69-G51+G73+G74</f>
        <v>181098.579087322</v>
      </c>
    </row>
    <row r="76" customFormat="false" ht="15" hidden="false" customHeight="true" outlineLevel="0" collapsed="false">
      <c r="A76" s="10" t="s">
        <v>611</v>
      </c>
      <c r="C76" s="36" t="n">
        <f aca="false">C53+C52-(C69-C55*C70)-C51+C73+C74</f>
        <v>1267.40492711092</v>
      </c>
      <c r="D76" s="36" t="n">
        <f aca="false">D53+D52-(D69-D55*D70)-D51+D73+D74</f>
        <v>27103.9738456788</v>
      </c>
      <c r="E76" s="36" t="n">
        <f aca="false">E53+E52-(E69-E55*E70)-E51+E73+E74</f>
        <v>58384.5036794368</v>
      </c>
      <c r="F76" s="36" t="n">
        <f aca="false">F53+F52-(F69-F55*F70)-F51+F73+F74</f>
        <v>99828.6548222234</v>
      </c>
      <c r="G76" s="36" t="n">
        <f aca="false">G53+G52-(G69-G55*G70)-G51+G73+G74</f>
        <v>147632.359112714</v>
      </c>
    </row>
    <row r="77" customFormat="false" ht="15" hidden="false" customHeight="true" outlineLevel="0" collapsed="false">
      <c r="A77" s="13" t="s">
        <v>612</v>
      </c>
      <c r="C77" s="16" t="n">
        <f aca="false">IFERROR(C76/C49,0)</f>
        <v>0.0221465878086063</v>
      </c>
      <c r="D77" s="16" t="n">
        <f aca="false">IFERROR(D76/D49,0)</f>
        <v>0.189445543060591</v>
      </c>
      <c r="E77" s="16" t="n">
        <f aca="false">IFERROR(E76/E49,0)</f>
        <v>0.226713045204899</v>
      </c>
      <c r="F77" s="16" t="n">
        <f aca="false">IFERROR(F76/F49,0)</f>
        <v>0.258429970364736</v>
      </c>
      <c r="G77" s="16" t="n">
        <f aca="false">IFERROR(G76/G49,0)</f>
        <v>0.283097119116659</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141998.189113391</v>
      </c>
      <c r="E80" s="34" t="n">
        <f aca="false">D85</f>
        <v>183307.568583058</v>
      </c>
      <c r="F80" s="34" t="n">
        <f aca="false">E85</f>
        <v>263182.818724495</v>
      </c>
      <c r="G80" s="34" t="n">
        <f aca="false">F85</f>
        <v>391162.126635592</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10347.1891133908</v>
      </c>
      <c r="D82" s="34" t="n">
        <f aca="false">D75</f>
        <v>41309.3794696673</v>
      </c>
      <c r="E82" s="34" t="n">
        <f aca="false">E75</f>
        <v>79875.2501414372</v>
      </c>
      <c r="F82" s="34" t="n">
        <f aca="false">F75</f>
        <v>127979.307911096</v>
      </c>
      <c r="G82" s="34" t="n">
        <f aca="false">G75</f>
        <v>181098.579087322</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141998.189113391</v>
      </c>
      <c r="D85" s="36" t="n">
        <f aca="false">D80+D82+D83+D84</f>
        <v>183307.568583058</v>
      </c>
      <c r="E85" s="36" t="n">
        <f aca="false">E80+E82+E83+E84</f>
        <v>263182.818724495</v>
      </c>
      <c r="F85" s="36" t="n">
        <f aca="false">F80+F82+F83+F84</f>
        <v>391162.126635592</v>
      </c>
      <c r="G85" s="36" t="n">
        <f aca="false">G80+G82+G83+G84</f>
        <v>572260.705722914</v>
      </c>
    </row>
    <row r="86" customFormat="false" ht="15" hidden="false" customHeight="true" outlineLevel="0" collapsed="false">
      <c r="A86" s="13" t="s">
        <v>622</v>
      </c>
      <c r="C86" s="34" t="n">
        <f aca="false">MIN(C80-C81,C85)</f>
        <v>131651</v>
      </c>
      <c r="D86" s="34" t="n">
        <f aca="false">MIN(D80-D81,D85)</f>
        <v>141998.189113391</v>
      </c>
      <c r="E86" s="34" t="n">
        <f aca="false">MIN(E80-E81,E85)</f>
        <v>183307.568583058</v>
      </c>
      <c r="F86" s="34" t="n">
        <f aca="false">MIN(F80-F81,F85)</f>
        <v>263182.818724495</v>
      </c>
      <c r="G86" s="34" t="n">
        <f aca="false">MIN(G80-G81,G85)</f>
        <v>391162.126635592</v>
      </c>
    </row>
    <row r="87" customFormat="false" ht="15" hidden="false" customHeight="true" outlineLevel="0" collapsed="false">
      <c r="A87" s="13" t="s">
        <v>623</v>
      </c>
      <c r="C87" s="34" t="n">
        <f aca="false">C86-Inputs!$B$29</f>
        <v>126651</v>
      </c>
      <c r="D87" s="34" t="n">
        <f aca="false">D86-Inputs!$B$29</f>
        <v>136998.189113391</v>
      </c>
      <c r="E87" s="34" t="n">
        <f aca="false">E86-Inputs!$B$29</f>
        <v>178307.568583058</v>
      </c>
      <c r="F87" s="34" t="n">
        <f aca="false">F86-Inputs!$B$29</f>
        <v>258182.818724495</v>
      </c>
      <c r="G87" s="34" t="n">
        <f aca="false">G86-Inputs!$B$29</f>
        <v>386162.126635592</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141998.189113391</v>
      </c>
      <c r="D100" s="34" t="n">
        <f aca="false">D85+SUM($C97:D97)+SUM($C98:D98)-SUM($C99:D99)</f>
        <v>183307.568583058</v>
      </c>
      <c r="E100" s="34" t="n">
        <f aca="false">E85+SUM($C97:E97)+SUM($C98:E98)-SUM($C99:E99)</f>
        <v>263182.818724495</v>
      </c>
      <c r="F100" s="34" t="n">
        <f aca="false">F85+SUM($C97:F97)+SUM($C98:F98)-SUM($C99:F99)</f>
        <v>391162.126635592</v>
      </c>
      <c r="G100" s="34" t="n">
        <f aca="false">G85+SUM($C97:G97)+SUM($C98:G98)-SUM($C99:G99)</f>
        <v>572260.705722914</v>
      </c>
    </row>
    <row r="101" customFormat="false" ht="15" hidden="false" customHeight="true" outlineLevel="0" collapsed="false">
      <c r="A101" s="13" t="s">
        <v>637</v>
      </c>
      <c r="C101" s="34" t="n">
        <f aca="false">MIN(C80-C81+0+C97,C100)</f>
        <v>131651</v>
      </c>
      <c r="D101" s="34" t="n">
        <f aca="false">MIN(D80-D81+SUM($C97:C97)+SUM($C98:C98)-SUM($C99:C99)+D97,D100)</f>
        <v>141998.189113391</v>
      </c>
      <c r="E101" s="34" t="n">
        <f aca="false">MIN(E80-E81+SUM($C97:D97)+SUM($C98:D98)-SUM($C99:D99)+E97,E100)</f>
        <v>183307.568583058</v>
      </c>
      <c r="F101" s="34" t="n">
        <f aca="false">MIN(F80-F81+SUM($C97:E97)+SUM($C98:E98)-SUM($C99:E99)+F97,F100)</f>
        <v>263182.818724495</v>
      </c>
      <c r="G101" s="34" t="n">
        <f aca="false">MIN(G80-G81+SUM($C97:F97)+SUM($C98:F98)-SUM($C99:F99)+G97,G100)</f>
        <v>391162.126635592</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57228</v>
      </c>
      <c r="D105" s="34" t="n">
        <f aca="false">D5+D31</f>
        <v>155660.16</v>
      </c>
      <c r="E105" s="34" t="n">
        <f aca="false">E5+E31</f>
        <v>314181.72</v>
      </c>
      <c r="F105" s="34" t="n">
        <f aca="false">F5+F31</f>
        <v>539259.444</v>
      </c>
      <c r="G105" s="34" t="n">
        <f aca="false">G5+G31</f>
        <v>808309.7325</v>
      </c>
    </row>
    <row r="106" customFormat="false" ht="15" hidden="false" customHeight="true" outlineLevel="0" collapsed="false">
      <c r="A106" s="13" t="s">
        <v>558</v>
      </c>
      <c r="C106" s="34" t="n">
        <f aca="false">C17+C35</f>
        <v>3255.72555603635</v>
      </c>
      <c r="D106" s="34" t="n">
        <f aca="false">D17+D35</f>
        <v>49955.2864</v>
      </c>
      <c r="E106" s="34" t="n">
        <f aca="false">E17+E35</f>
        <v>129334.5352</v>
      </c>
      <c r="F106" s="34" t="n">
        <f aca="false">F17+F35</f>
        <v>253075.44304</v>
      </c>
      <c r="G106" s="34" t="n">
        <f aca="false">G17+G35</f>
        <v>409241.117344</v>
      </c>
    </row>
    <row r="107" customFormat="false" ht="15" hidden="false" customHeight="true" outlineLevel="0" collapsed="false">
      <c r="A107" s="13" t="s">
        <v>586</v>
      </c>
      <c r="C107" s="34" t="n">
        <f aca="false">C51+C37</f>
        <v>1716.84</v>
      </c>
      <c r="D107" s="34" t="n">
        <f aca="false">D51+D37</f>
        <v>6226.4064</v>
      </c>
      <c r="E107" s="34" t="n">
        <f aca="false">E51+E37</f>
        <v>15709.086</v>
      </c>
      <c r="F107" s="34" t="n">
        <f aca="false">F51+F37</f>
        <v>26962.9722</v>
      </c>
      <c r="G107" s="34" t="n">
        <f aca="false">G51+G37</f>
        <v>40415.486625</v>
      </c>
    </row>
    <row r="108" customFormat="false" ht="15" hidden="false" customHeight="true" outlineLevel="0" collapsed="false">
      <c r="A108" s="13" t="s">
        <v>587</v>
      </c>
      <c r="C108" s="33" t="n">
        <v>0</v>
      </c>
      <c r="D108" s="34" t="n">
        <f aca="false">SUMPRODUCT($D107:D107,--((4-COLUMN($D107:D107))&lt;Inputs!$B$32))/Inputs!$B$32</f>
        <v>1245.28128</v>
      </c>
      <c r="E108" s="34" t="n">
        <f aca="false">SUMPRODUCT($D107:E107,--((5-COLUMN($D107:E107))&lt;Inputs!$B$32))/Inputs!$B$32</f>
        <v>4387.09848</v>
      </c>
      <c r="F108" s="34" t="n">
        <f aca="false">SUMPRODUCT($D107:F107,--((6-COLUMN($D107:F107))&lt;Inputs!$B$32))/Inputs!$B$32</f>
        <v>9779.69292</v>
      </c>
      <c r="G108" s="34" t="n">
        <f aca="false">SUMPRODUCT($D107:G107,--((7-COLUMN($D107:G107))&lt;Inputs!$B$32))/Inputs!$B$32</f>
        <v>17862.790245</v>
      </c>
    </row>
    <row r="109" customFormat="false" ht="15" hidden="false" customHeight="true" outlineLevel="0" collapsed="false">
      <c r="A109" s="10" t="s">
        <v>588</v>
      </c>
      <c r="C109" s="36" t="n">
        <f aca="false">C106-C108</f>
        <v>3255.72555603635</v>
      </c>
      <c r="D109" s="36" t="n">
        <f aca="false">D106-D108</f>
        <v>48710.00512</v>
      </c>
      <c r="E109" s="36" t="n">
        <f aca="false">E106-E108</f>
        <v>124947.43672</v>
      </c>
      <c r="F109" s="36" t="n">
        <f aca="false">F106-F108</f>
        <v>243295.75012</v>
      </c>
      <c r="G109" s="36" t="n">
        <f aca="false">G106-G108</f>
        <v>391378.327099</v>
      </c>
    </row>
    <row r="110" customFormat="false" ht="15" hidden="false" customHeight="true" outlineLevel="0" collapsed="false">
      <c r="A110" s="13" t="s">
        <v>589</v>
      </c>
      <c r="C110" s="16" t="n">
        <f aca="false">IFERROR(C109/C105,0)</f>
        <v>0.0568904304892072</v>
      </c>
      <c r="D110" s="16" t="n">
        <f aca="false">IFERROR(D109/D105,0)</f>
        <v>0.312925318334505</v>
      </c>
      <c r="E110" s="16" t="n">
        <f aca="false">IFERROR(E109/E105,0)</f>
        <v>0.397691618468446</v>
      </c>
      <c r="F110" s="16" t="n">
        <f aca="false">IFERROR(F109/F105,0)</f>
        <v>0.451166415028978</v>
      </c>
      <c r="G110" s="16" t="n">
        <f aca="false">IFERROR(G109/G105,0)</f>
        <v>0.484193510683728</v>
      </c>
    </row>
    <row r="111" customFormat="false" ht="15" hidden="false" customHeight="true" outlineLevel="0" collapsed="false">
      <c r="A111" s="13" t="s">
        <v>590</v>
      </c>
      <c r="C111" s="34" t="n">
        <f aca="false">Historicals!F43+C136*Inputs!$B$20/2</f>
        <v>2756.6375</v>
      </c>
      <c r="D111" s="34" t="n">
        <f aca="false">MAX(0,D136-D137)*Inputs!$B$20</f>
        <v>3549.95472783477</v>
      </c>
      <c r="E111" s="34" t="n">
        <f aca="false">MAX(0,E136-E137)*Inputs!$B$20</f>
        <v>4722.97856740487</v>
      </c>
      <c r="F111" s="34" t="n">
        <f aca="false">MAX(0,F136-F137)*Inputs!$B$20</f>
        <v>7340.9552830079</v>
      </c>
      <c r="G111" s="34" t="n">
        <f aca="false">MAX(0,G136-G137)*Inputs!$B$20</f>
        <v>12227.0384956675</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6012.36305603635</v>
      </c>
      <c r="D114" s="34" t="n">
        <f aca="false">D109+D111+D112-D113</f>
        <v>52259.9598478348</v>
      </c>
      <c r="E114" s="34" t="n">
        <f aca="false">E109+E111+E112-E113</f>
        <v>129670.415287405</v>
      </c>
      <c r="F114" s="34" t="n">
        <f aca="false">F109+F111+F112-F113</f>
        <v>250636.705403008</v>
      </c>
      <c r="G114" s="34" t="n">
        <f aca="false">G109+G111+G112-G113</f>
        <v>403605.365594668</v>
      </c>
    </row>
    <row r="115" customFormat="false" ht="15" hidden="false" customHeight="true" outlineLevel="0" collapsed="false">
      <c r="A115" s="13" t="s">
        <v>594</v>
      </c>
      <c r="C115" s="34" t="n">
        <f aca="false">C114*Inputs!$B$46</f>
        <v>4328.90140034617</v>
      </c>
      <c r="D115" s="34" t="n">
        <f aca="false">D114*Inputs!$B$46</f>
        <v>37627.171090441</v>
      </c>
      <c r="E115" s="34" t="n">
        <f aca="false">E114*Inputs!$B$46</f>
        <v>93362.6990069315</v>
      </c>
      <c r="F115" s="34" t="n">
        <f aca="false">F114*Inputs!$B$46</f>
        <v>180458.427890166</v>
      </c>
      <c r="G115" s="34" t="n">
        <f aca="false">G114*Inputs!$B$46</f>
        <v>290595.863228161</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259.73408402077</v>
      </c>
      <c r="D119" s="34" t="n">
        <f aca="false">MAX(0,D115-D117)*Inputs!$B$47</f>
        <v>2005.63026542646</v>
      </c>
      <c r="E119" s="34" t="n">
        <f aca="false">MAX(0,E115-E117)*Inputs!$B$47</f>
        <v>5601.76194041589</v>
      </c>
      <c r="F119" s="34" t="n">
        <f aca="false">MAX(0,F115-F117)*Inputs!$B$47</f>
        <v>10827.5056734099</v>
      </c>
      <c r="G119" s="34" t="n">
        <f aca="false">MAX(0,G115-G117)*Inputs!$B$47</f>
        <v>17435.7517936896</v>
      </c>
    </row>
    <row r="120" customFormat="false" ht="15" hidden="false" customHeight="true" outlineLevel="0" collapsed="false">
      <c r="A120" s="13" t="s">
        <v>599</v>
      </c>
      <c r="C120" s="34" t="n">
        <f aca="false">C114-C119</f>
        <v>5752.62897201558</v>
      </c>
      <c r="D120" s="34" t="n">
        <f aca="false">D114-D119</f>
        <v>50254.3295824083</v>
      </c>
      <c r="E120" s="34" t="n">
        <f aca="false">E114-E119</f>
        <v>124068.653346989</v>
      </c>
      <c r="F120" s="34" t="n">
        <f aca="false">F114-F119</f>
        <v>239809.199729598</v>
      </c>
      <c r="G120" s="34" t="n">
        <f aca="false">G114-G119</f>
        <v>386169.613800978</v>
      </c>
    </row>
    <row r="121" customFormat="false" ht="15" hidden="false" customHeight="true" outlineLevel="0" collapsed="false">
      <c r="A121" s="13" t="s">
        <v>600</v>
      </c>
      <c r="C121" s="34" t="n">
        <f aca="false">Inputs!$B$44</f>
        <v>8200</v>
      </c>
      <c r="D121" s="34" t="n">
        <f aca="false">C123</f>
        <v>3597.89682238754</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4602.10317761246</v>
      </c>
      <c r="D122" s="34" t="n">
        <f aca="false">MIN(D121,Inputs!$B$45*MAX(0,D120))</f>
        <v>3597.89682238754</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3597.89682238754</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241.610416824654</v>
      </c>
      <c r="D124" s="34" t="n">
        <f aca="false">MAX(0,D120-D122)*Inputs!$B$43</f>
        <v>9797.85087960436</v>
      </c>
      <c r="E124" s="34" t="n">
        <f aca="false">MAX(0,E120-E122)*Inputs!$B$43</f>
        <v>26054.4172028677</v>
      </c>
      <c r="F124" s="34" t="n">
        <f aca="false">MAX(0,F120-F122)*Inputs!$B$43</f>
        <v>50359.9319432156</v>
      </c>
      <c r="G124" s="34" t="n">
        <f aca="false">MAX(0,G120-G122)*Inputs!$B$43</f>
        <v>81095.6188982054</v>
      </c>
    </row>
    <row r="125" customFormat="false" ht="15" hidden="false" customHeight="true" outlineLevel="0" collapsed="false">
      <c r="A125" s="10" t="s">
        <v>604</v>
      </c>
      <c r="C125" s="36" t="n">
        <f aca="false">IF(Inputs!$D$90=0,MAX(0,C109+C111)*Inputs!B$54,IF(Inputs!$D$90=2,MAX(0,C114)*Inputs!$D$91,C119+C124))</f>
        <v>501.344500845425</v>
      </c>
      <c r="D125" s="36" t="n">
        <f aca="false">IF(Inputs!$D$90=0,MAX(0,D109+D111)*Inputs!C$54,IF(Inputs!$D$90=2,MAX(0,D114)*Inputs!$D$91,D119+D124))</f>
        <v>11803.4811450308</v>
      </c>
      <c r="E125" s="36" t="n">
        <f aca="false">IF(Inputs!$D$90=0,MAX(0,E109+E111)*Inputs!D$54,IF(Inputs!$D$90=2,MAX(0,E114)*Inputs!$D$91,E119+E124))</f>
        <v>31656.1791432836</v>
      </c>
      <c r="F125" s="36" t="n">
        <f aca="false">IF(Inputs!$D$90=0,MAX(0,F109+F111)*Inputs!E$54,IF(Inputs!$D$90=2,MAX(0,F114)*Inputs!$D$91,F119+F124))</f>
        <v>61187.4376166255</v>
      </c>
      <c r="G125" s="36" t="n">
        <f aca="false">IF(Inputs!$D$90=0,MAX(0,G109+G111)*Inputs!F$54,IF(Inputs!$D$90=2,MAX(0,G114)*Inputs!$D$91,G119+G124))</f>
        <v>98531.370691895</v>
      </c>
    </row>
    <row r="126" customFormat="false" ht="15" hidden="false" customHeight="true" outlineLevel="0" collapsed="false">
      <c r="A126" s="13" t="s">
        <v>605</v>
      </c>
      <c r="C126" s="16" t="n">
        <f aca="false">IF(C114&gt;0,MIN(1,C125/C114),0)</f>
        <v>0.0833856</v>
      </c>
      <c r="D126" s="16" t="n">
        <f aca="false">IF(D114&gt;0,MIN(1,D125/D114),0)</f>
        <v>0.225860891960097</v>
      </c>
      <c r="E126" s="16" t="n">
        <f aca="false">IF(E114&gt;0,MIN(1,E125/E114),0)</f>
        <v>0.244128</v>
      </c>
      <c r="F126" s="16" t="n">
        <f aca="false">IF(F114&gt;0,MIN(1,F125/F114),0)</f>
        <v>0.244128</v>
      </c>
      <c r="G126" s="16" t="n">
        <f aca="false">IF(G114&gt;0,MIN(1,G125/G114),0)</f>
        <v>0.244128</v>
      </c>
    </row>
    <row r="127" customFormat="false" ht="15" hidden="false" customHeight="true" outlineLevel="0" collapsed="false">
      <c r="A127" s="13" t="s">
        <v>606</v>
      </c>
      <c r="C127" s="34" t="n">
        <f aca="false">C109+C111-C125</f>
        <v>5511.01855519092</v>
      </c>
      <c r="D127" s="34" t="n">
        <f aca="false">D109+D111-D125</f>
        <v>40456.478702804</v>
      </c>
      <c r="E127" s="34" t="n">
        <f aca="false">E109+E111-E125</f>
        <v>98014.2361441213</v>
      </c>
      <c r="F127" s="34" t="n">
        <f aca="false">F109+F111-F125</f>
        <v>189449.267786382</v>
      </c>
      <c r="G127" s="34" t="n">
        <f aca="false">G109+G111-G125</f>
        <v>305073.994902773</v>
      </c>
    </row>
    <row r="128" customFormat="false" ht="15" hidden="false" customHeight="true" outlineLevel="0" collapsed="false">
      <c r="A128" s="13" t="s">
        <v>607</v>
      </c>
      <c r="C128" s="34" t="n">
        <f aca="false">C12+C20</f>
        <v>8779.01055819991</v>
      </c>
      <c r="D128" s="34" t="n">
        <f aca="false">D12+D20</f>
        <v>11445.6</v>
      </c>
      <c r="E128" s="34" t="n">
        <f aca="false">E12+E20</f>
        <v>18026.82</v>
      </c>
      <c r="F128" s="34" t="n">
        <f aca="false">F12+F20</f>
        <v>23177.34</v>
      </c>
      <c r="G128" s="34" t="n">
        <f aca="false">G12+G20</f>
        <v>26074.5075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12573.1891133908</v>
      </c>
      <c r="D131" s="36" t="n">
        <f aca="false">D109+D128+D108+D111-D125-D107+D129+D130</f>
        <v>46920.953582804</v>
      </c>
      <c r="E131" s="36" t="n">
        <f aca="false">E109+E128+E108+E111-E125-E107+E129+E130</f>
        <v>104719.068624121</v>
      </c>
      <c r="F131" s="36" t="n">
        <f aca="false">F109+F128+F108+F111-F125-F107+F129+F130</f>
        <v>195443.328506382</v>
      </c>
      <c r="G131" s="36" t="n">
        <f aca="false">G109+G128+G108+G111-G125-G107+G129+G130</f>
        <v>308595.806022772</v>
      </c>
    </row>
    <row r="132" customFormat="false" ht="15" hidden="false" customHeight="true" outlineLevel="0" collapsed="false">
      <c r="A132" s="10" t="s">
        <v>611</v>
      </c>
      <c r="C132" s="36" t="n">
        <f aca="false">C109+C108-(C125-C111*C126)-C107+C129+C130</f>
        <v>1267.40492711092</v>
      </c>
      <c r="D132" s="36" t="n">
        <f aca="false">D109+D108-(D125-D111*D126)-D107+D129+D130</f>
        <v>32727.1947962159</v>
      </c>
      <c r="E132" s="36" t="n">
        <f aca="false">E109+E108-(E125-E111*E126)-E107+E129+E130</f>
        <v>83122.2813684199</v>
      </c>
      <c r="F132" s="36" t="n">
        <f aca="false">F109+F108-(F125-F111*F126)-F107+F129+F130</f>
        <v>166717.165954705</v>
      </c>
      <c r="G132" s="36" t="n">
        <f aca="false">G109+G108-(G125-G111*G126)-G107+G129+G130</f>
        <v>273279.222480975</v>
      </c>
    </row>
    <row r="133" customFormat="false" ht="15" hidden="false" customHeight="true" outlineLevel="0" collapsed="false">
      <c r="A133" s="13" t="s">
        <v>612</v>
      </c>
      <c r="C133" s="16" t="n">
        <f aca="false">IFERROR(C132/C105,0)</f>
        <v>0.0221465878086063</v>
      </c>
      <c r="D133" s="16" t="n">
        <f aca="false">IFERROR(D132/D105,0)</f>
        <v>0.210247726818576</v>
      </c>
      <c r="E133" s="16" t="n">
        <f aca="false">IFERROR(E132/E105,0)</f>
        <v>0.264567529162486</v>
      </c>
      <c r="F133" s="16" t="n">
        <f aca="false">IFERROR(F132/F105,0)</f>
        <v>0.309159473811097</v>
      </c>
      <c r="G133" s="16" t="n">
        <f aca="false">IFERROR(G132/G105,0)</f>
        <v>0.338087259738612</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141998.189113391</v>
      </c>
      <c r="E136" s="34" t="n">
        <f aca="false">D141</f>
        <v>188919.142696195</v>
      </c>
      <c r="F136" s="34" t="n">
        <f aca="false">E141</f>
        <v>293638.211320316</v>
      </c>
      <c r="G136" s="34" t="n">
        <f aca="false">F141</f>
        <v>489081.539826699</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10347.1891133908</v>
      </c>
      <c r="D138" s="34" t="n">
        <f aca="false">D131</f>
        <v>46920.953582804</v>
      </c>
      <c r="E138" s="34" t="n">
        <f aca="false">E131</f>
        <v>104719.068624121</v>
      </c>
      <c r="F138" s="34" t="n">
        <f aca="false">F131</f>
        <v>195443.328506382</v>
      </c>
      <c r="G138" s="34" t="n">
        <f aca="false">G131</f>
        <v>308595.806022772</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141998.189113391</v>
      </c>
      <c r="D141" s="36" t="n">
        <f aca="false">D136+D138+D139+D140</f>
        <v>188919.142696195</v>
      </c>
      <c r="E141" s="36" t="n">
        <f aca="false">E136+E138+E139+E140</f>
        <v>293638.211320316</v>
      </c>
      <c r="F141" s="36" t="n">
        <f aca="false">F136+F138+F139+F140</f>
        <v>489081.539826699</v>
      </c>
      <c r="G141" s="36" t="n">
        <f aca="false">G136+G138+G139+G140</f>
        <v>797677.345849471</v>
      </c>
    </row>
    <row r="142" customFormat="false" ht="15" hidden="false" customHeight="true" outlineLevel="0" collapsed="false">
      <c r="A142" s="13" t="s">
        <v>622</v>
      </c>
      <c r="C142" s="34" t="n">
        <f aca="false">MIN(C136-C137,C141)</f>
        <v>131651</v>
      </c>
      <c r="D142" s="34" t="n">
        <f aca="false">MIN(D136-D137,D141)</f>
        <v>141998.189113391</v>
      </c>
      <c r="E142" s="34" t="n">
        <f aca="false">MIN(E136-E137,E141)</f>
        <v>188919.142696195</v>
      </c>
      <c r="F142" s="34" t="n">
        <f aca="false">MIN(F136-F137,F141)</f>
        <v>293638.211320316</v>
      </c>
      <c r="G142" s="34" t="n">
        <f aca="false">MIN(G136-G137,G141)</f>
        <v>489081.539826699</v>
      </c>
    </row>
    <row r="143" customFormat="false" ht="15" hidden="false" customHeight="true" outlineLevel="0" collapsed="false">
      <c r="A143" s="13" t="s">
        <v>623</v>
      </c>
      <c r="C143" s="34" t="n">
        <f aca="false">C142-Inputs!$B$29</f>
        <v>126651</v>
      </c>
      <c r="D143" s="34" t="n">
        <f aca="false">D142-Inputs!$B$29</f>
        <v>136998.189113391</v>
      </c>
      <c r="E143" s="34" t="n">
        <f aca="false">E142-Inputs!$B$29</f>
        <v>183919.142696195</v>
      </c>
      <c r="F143" s="34" t="n">
        <f aca="false">F142-Inputs!$B$29</f>
        <v>288638.211320316</v>
      </c>
      <c r="G143" s="34" t="n">
        <f aca="false">G142-Inputs!$B$29</f>
        <v>484081.539826699</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141998.189113391</v>
      </c>
      <c r="D156" s="34" t="n">
        <f aca="false">D141+SUM($C153:D153)+SUM($C154:D154)-SUM($C155:D155)</f>
        <v>188919.142696195</v>
      </c>
      <c r="E156" s="34" t="n">
        <f aca="false">E141+SUM($C153:E153)+SUM($C154:E154)-SUM($C155:E155)</f>
        <v>293638.211320316</v>
      </c>
      <c r="F156" s="34" t="n">
        <f aca="false">F141+SUM($C153:F153)+SUM($C154:F154)-SUM($C155:F155)</f>
        <v>489081.539826699</v>
      </c>
      <c r="G156" s="34" t="n">
        <f aca="false">G141+SUM($C153:G153)+SUM($C154:G154)-SUM($C155:G155)</f>
        <v>797677.345849471</v>
      </c>
    </row>
    <row r="157" customFormat="false" ht="15" hidden="false" customHeight="true" outlineLevel="0" collapsed="false">
      <c r="A157" s="13" t="s">
        <v>637</v>
      </c>
      <c r="C157" s="34" t="n">
        <f aca="false">MIN(C136-C137+0+C153,C156)</f>
        <v>131651</v>
      </c>
      <c r="D157" s="34" t="n">
        <f aca="false">MIN(D136-D137+SUM($C153:C153)+SUM($C154:C154)-SUM($C155:C155)+D153,D156)</f>
        <v>141998.189113391</v>
      </c>
      <c r="E157" s="34" t="n">
        <f aca="false">MIN(E136-E137+SUM($C153:D153)+SUM($C154:D154)-SUM($C155:D155)+E153,E156)</f>
        <v>188919.142696195</v>
      </c>
      <c r="F157" s="34" t="n">
        <f aca="false">MIN(F136-F137+SUM($C153:E153)+SUM($C154:E154)-SUM($C155:E155)+F153,F156)</f>
        <v>293638.211320316</v>
      </c>
      <c r="G157" s="34" t="n">
        <f aca="false">MIN(G136-G137+SUM($C153:F153)+SUM($C154:F154)-SUM($C155:F155)+G153,G156)</f>
        <v>489081.539826699</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Inputs!$B$19+Inputs!$D$89</f>
        <v>0.12</v>
      </c>
      <c r="G162" s="16" t="n">
        <f aca="false">Inputs!$B$19+Inputs!$D$89</f>
        <v>0.12</v>
      </c>
    </row>
    <row r="163" customFormat="false" ht="15" hidden="false" customHeight="true" outlineLevel="0" collapsed="false">
      <c r="A163" s="13" t="s">
        <v>642</v>
      </c>
      <c r="F163" s="34" t="n">
        <f aca="false">G53*(1-G70)</f>
        <v>160909.255112714</v>
      </c>
      <c r="G163" s="34" t="n">
        <f aca="false">G109*(1-G126)</f>
        <v>295831.918860975</v>
      </c>
    </row>
    <row r="164" customFormat="false" ht="15" hidden="false" customHeight="true" outlineLevel="0" collapsed="false">
      <c r="A164" s="13" t="s">
        <v>643</v>
      </c>
      <c r="F164" s="53" t="n">
        <f aca="false">Inputs!$D$87</f>
        <v>35</v>
      </c>
      <c r="G164" s="53" t="n">
        <f aca="false">Inputs!$D$87</f>
        <v>35</v>
      </c>
    </row>
    <row r="165" customFormat="false" ht="15" hidden="false" customHeight="true" outlineLevel="0" collapsed="false">
      <c r="A165" s="13" t="s">
        <v>644</v>
      </c>
      <c r="F165" s="34" t="n">
        <f aca="false">F163*F164</f>
        <v>5631823.928945</v>
      </c>
      <c r="G165" s="34" t="n">
        <f aca="false">G163*G164</f>
        <v>10354117.1601341</v>
      </c>
    </row>
    <row r="166" customFormat="false" ht="15" hidden="false" customHeight="true" outlineLevel="0" collapsed="false">
      <c r="A166" s="13" t="s">
        <v>645</v>
      </c>
      <c r="F166" s="34" t="n">
        <f aca="false">F165*$G$21</f>
        <v>3579125.92123748</v>
      </c>
      <c r="G166" s="34" t="n">
        <f aca="false">G165*$G$21</f>
        <v>6580228.64118694</v>
      </c>
    </row>
    <row r="167" customFormat="false" ht="15" hidden="false" customHeight="true" outlineLevel="0" collapsed="false">
      <c r="A167" s="13" t="s">
        <v>646</v>
      </c>
      <c r="F167" s="34" t="n">
        <f aca="false">SUMPRODUCT(D76:G76,$D$21:$G$21)-F162*SUMPRODUCT(D81:G81,$D$21:$G$21)</f>
        <v>235622.843366955</v>
      </c>
      <c r="G167" s="34" t="n">
        <f aca="false">SUMPRODUCT(D132:G132,$D$21:$G$21)-G162*SUMPRODUCT(D137:G137,$D$21:$G$21)</f>
        <v>387825.155471521</v>
      </c>
    </row>
    <row r="168" customFormat="false" ht="15" hidden="false" customHeight="true" outlineLevel="0" collapsed="false">
      <c r="A168" s="13" t="s">
        <v>647</v>
      </c>
      <c r="F168" s="34" t="n">
        <f aca="false">F166+F167</f>
        <v>3814748.76460443</v>
      </c>
      <c r="G168" s="34" t="n">
        <f aca="false">G166+G167</f>
        <v>6968053.79665846</v>
      </c>
    </row>
    <row r="169" customFormat="false" ht="15" hidden="false" customHeight="true" outlineLevel="0" collapsed="false">
      <c r="A169" s="13" t="s">
        <v>648</v>
      </c>
      <c r="F169" s="34" t="n">
        <f aca="false">(G76-G74)*Inputs!$D$88*$G$21</f>
        <v>3002337.06155789</v>
      </c>
      <c r="G169" s="34" t="n">
        <f aca="false">(G132-G130)*Inputs!$D$88*$G$21</f>
        <v>5557564.36285042</v>
      </c>
    </row>
    <row r="170" customFormat="false" ht="15" hidden="false" customHeight="true" outlineLevel="0" collapsed="false">
      <c r="A170" s="13" t="s">
        <v>649</v>
      </c>
      <c r="F170" s="34" t="n">
        <f aca="false">F167+F169</f>
        <v>3237959.90492485</v>
      </c>
      <c r="G170" s="34" t="n">
        <f aca="false">G167+G169</f>
        <v>5945389.51832194</v>
      </c>
    </row>
    <row r="171" customFormat="false" ht="15" hidden="false" customHeight="true" outlineLevel="0" collapsed="false">
      <c r="A171" s="13" t="s">
        <v>650</v>
      </c>
      <c r="F171" s="34" t="n">
        <f aca="false">F168*Inputs!$B$21+F170*(1-Inputs!$B$21)</f>
        <v>3526354.33476464</v>
      </c>
      <c r="G171" s="34" t="n">
        <f aca="false">G168*Inputs!$B$21+G170*(1-Inputs!$B$21)</f>
        <v>6456721.6574902</v>
      </c>
    </row>
    <row r="172" customFormat="false" ht="15" hidden="false" customHeight="true" outlineLevel="0" collapsed="false">
      <c r="A172" s="13" t="s">
        <v>651</v>
      </c>
      <c r="F172" s="16" t="n">
        <f aca="false">IFERROR(F166/F168,0)</f>
        <v>0.938233719202374</v>
      </c>
      <c r="G172" s="16" t="n">
        <f aca="false">IFERROR(G166/G168,0)</f>
        <v>0.944342399357263</v>
      </c>
    </row>
    <row r="173" customFormat="false" ht="15" hidden="false" customHeight="true" outlineLevel="0" collapsed="false">
      <c r="A173" s="13" t="s">
        <v>652</v>
      </c>
      <c r="F173" s="16" t="n">
        <f aca="false">IFERROR(F169/F170,0)</f>
        <v>0.927231080592264</v>
      </c>
      <c r="G173" s="16" t="n">
        <f aca="false">IFERROR(G169/G170,0)</f>
        <v>0.934768755810472</v>
      </c>
    </row>
    <row r="174" customFormat="false" ht="15" hidden="false" customHeight="true" outlineLevel="0" collapsed="false">
      <c r="A174" s="13" t="s">
        <v>653</v>
      </c>
      <c r="F174" s="34" t="n">
        <f aca="false">C85</f>
        <v>141998.189113391</v>
      </c>
      <c r="G174" s="34" t="n">
        <f aca="false">C141</f>
        <v>141998.189113391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3668352.52387803</v>
      </c>
      <c r="G176" s="35" t="n">
        <f aca="false">G171+G174+G175</f>
        <v>6598719.84660359</v>
      </c>
    </row>
    <row r="177" customFormat="false" ht="15" hidden="false" customHeight="true" outlineLevel="0" collapsed="false">
      <c r="A177" s="13" t="s">
        <v>656</v>
      </c>
      <c r="F177" s="34" t="n">
        <f aca="false">IF(F182="OK",F176,"unresolved")</f>
        <v>3668352.52387803</v>
      </c>
      <c r="G177" s="34" t="n">
        <f aca="false">IF(G182="OK",G176,"unresolved")</f>
        <v>6598719.84660359</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204.905443721389</v>
      </c>
      <c r="G179" s="25" t="n">
        <f aca="false">IF(G182="OK",G176/G178,"n/a")</f>
        <v>368.588790025023</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No raise needed</v>
      </c>
      <c r="G183" s="29" t="str">
        <f aca="false">IF(G182&lt;&gt;"OK",G182,IF(G180&gt;0,"Raise needed by 2030",IF(ISNUMBER(G181),"Cash-negative in 2030; runway "&amp;TEXT(G181,"0.0")&amp;" yrs","No raise needed")))</f>
        <v>No raise needed</v>
      </c>
    </row>
    <row r="184" customFormat="false" ht="15" hidden="false" customHeight="true" outlineLevel="0" collapsed="false">
      <c r="A184" s="13" t="s">
        <v>663</v>
      </c>
      <c r="F184" s="25" t="n">
        <f aca="false">IF(NOT(ISNUMBER(F179)),"unresolved",IF(F180=0,F179,(F176+F180/(1+F162)^IF(ISNUMBER(G93),MAX(0,G93-2027),0))/(F178+(F180/(1-Inputs!$B$31))/(F179*(1+F162)^IF(ISNUMBER(G93),MAX(0,G93-2027),0)*(1-0)))))</f>
        <v>204.905443721389</v>
      </c>
      <c r="G184" s="25" t="n">
        <f aca="false">IF(NOT(ISNUMBER(G179)),"unresolved",IF(G180=0,G179,(G176+G180/(1+G162)^IF(ISNUMBER(G149),MAX(0,G149-2027),0))/(G178+(G180/(1-Inputs!$B$31))/(G179*(1+G162)^IF(ISNUMBER(G149),MAX(0,G149-2027),0)*(1-0)))))</f>
        <v>368.588790025023</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204.905443721389</v>
      </c>
      <c r="G185" s="25" t="n">
        <f aca="false">IF(NOT(ISNUMBER(G179)),"unresolved",IF(G180=0,G179,(G176+G180/(1+G162)^IF(ISNUMBER(G149),MAX(0,G149-2027),0))/(G178+(G180/(1-Inputs!$B$31))/(G179*(1+G162)^IF(ISNUMBER(G149),MAX(0,G149-2027),0)*(1-Inputs!$B$30)))))</f>
        <v>368.588790025023</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204.905443721389</v>
      </c>
      <c r="G186" s="25" t="n">
        <f aca="false">IF(NOT(ISNUMBER(G179)),"unresolved",IF(G180=0,G179,(G176+G180/(1+G162)^IF(ISNUMBER(G149),MAX(0,G149-2027),0))/(G178+(G180/(1-Inputs!$B$31))/(G179*(1+G162)^IF(ISNUMBER(G149),MAX(0,G149-2027),0)*(1-0.3)))))</f>
        <v>368.588790025023</v>
      </c>
    </row>
    <row r="187" customFormat="false" ht="15" hidden="false" customHeight="true" outlineLevel="0" collapsed="false">
      <c r="A187" s="13" t="s">
        <v>666</v>
      </c>
      <c r="F187" s="25" t="n">
        <f aca="false">F185</f>
        <v>204.905443721389</v>
      </c>
      <c r="G187" s="25" t="n">
        <f aca="false">G185</f>
        <v>368.588790025023</v>
      </c>
    </row>
    <row r="188" customFormat="false" ht="15" hidden="false" customHeight="true" outlineLevel="0" collapsed="false">
      <c r="A188" s="13" t="s">
        <v>667</v>
      </c>
      <c r="F188" s="50" t="n">
        <f aca="false">IF(AND(ISNUMBER(F187),Inputs!$B$24=1),IF(F187&gt;Inputs!$B$23,INT(LN(F187/Inputs!$B$23)/LN(1+Inputs!$B$26)),0),0)</f>
        <v>2</v>
      </c>
      <c r="G188" s="50" t="n">
        <f aca="false">IF(AND(ISNUMBER(G187),Inputs!$B$24=1),IF(G187&gt;Inputs!$B$23,INT(LN(G187/Inputs!$B$23)/LN(1+Inputs!$B$26)),0),0)</f>
        <v>3</v>
      </c>
    </row>
    <row r="189" customFormat="false" ht="15" hidden="false" customHeight="true" outlineLevel="0" collapsed="false">
      <c r="A189" s="10" t="s">
        <v>668</v>
      </c>
      <c r="F189" s="12" t="n">
        <f aca="false">IF(ISNUMBER(F187),F187/(1+Inputs!$B$25)^F188,"unresolved")</f>
        <v>196.948715610716</v>
      </c>
      <c r="G189" s="12" t="n">
        <f aca="false">IF(ISNUMBER(G187),G187/(1+Inputs!$B$25)^G188,"unresolved")</f>
        <v>347.32944910425</v>
      </c>
    </row>
    <row r="190" customFormat="false" ht="15" hidden="false" customHeight="true" outlineLevel="0" collapsed="false">
      <c r="A190" s="13" t="s">
        <v>669</v>
      </c>
      <c r="F190" s="25" t="n">
        <f aca="false">IF(F180=0,F189,"unresolved")</f>
        <v>196.948715610716</v>
      </c>
      <c r="G190" s="25" t="n">
        <f aca="false">IF(G180=0,G189,"unresolved")</f>
        <v>347.32944910425</v>
      </c>
    </row>
    <row r="191" customFormat="false" ht="15" hidden="false" customHeight="true" outlineLevel="0" collapsed="false">
      <c r="A191" s="13" t="s">
        <v>670</v>
      </c>
      <c r="F191" s="34" t="n">
        <f aca="false">IF(ISNUMBER(F179),F176+F180/(1+F162)^IF(ISNUMBER(G93),MAX(0,G93-2027),0),"unresolved")</f>
        <v>3668352.52387803</v>
      </c>
      <c r="G191" s="34" t="n">
        <f aca="false">IF(ISNUMBER(G179),G176+G180/(1+G162)^IF(ISNUMBER(G149),MAX(0,G149-2027),0),"unresolved")</f>
        <v>6598719.84660359</v>
      </c>
    </row>
    <row r="192" customFormat="false" ht="15" hidden="false" customHeight="true" outlineLevel="0" collapsed="false">
      <c r="A192" s="13" t="s">
        <v>671</v>
      </c>
      <c r="F192" s="28" t="n">
        <f aca="false">IFERROR(F191/D49,"n/a")</f>
        <v>25.6402636742715</v>
      </c>
      <c r="G192" s="28" t="n">
        <f aca="false">IFERROR(G191/D105,"n/a")</f>
        <v>42.3918351786584</v>
      </c>
    </row>
    <row r="193" customFormat="false" ht="15" hidden="false" customHeight="true" outlineLevel="0" collapsed="false">
      <c r="A193" s="13" t="s">
        <v>672</v>
      </c>
      <c r="F193" s="25" t="n">
        <f aca="false">(F168+F174)/F178</f>
        <v>221.01447038348</v>
      </c>
      <c r="G193" s="25" t="n">
        <f aca="false">(G168+G174)/G178</f>
        <v>397.150586685317</v>
      </c>
    </row>
    <row r="194" customFormat="false" ht="15" hidden="false" customHeight="true" outlineLevel="0" collapsed="false">
      <c r="A194" s="13" t="s">
        <v>673</v>
      </c>
      <c r="F194" s="25" t="n">
        <f aca="false">(F170+F174)/F178</f>
        <v>188.796417059298</v>
      </c>
      <c r="G194" s="25" t="n">
        <f aca="false">(G170+G174)/G178</f>
        <v>340.02699336473</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680</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Historicals!F35+(Inputs!$B$5+Inputs!$G$60)</f>
        <v>54228</v>
      </c>
      <c r="D5" s="34" t="n">
        <f aca="false">C5*(1+Inputs!$G$62)</f>
        <v>54228</v>
      </c>
      <c r="E5" s="34" t="n">
        <f aca="false">D5*(1+Inputs!$G$63)</f>
        <v>54228</v>
      </c>
      <c r="F5" s="34" t="n">
        <f aca="false">E5*(1+Inputs!$G$64)</f>
        <v>54228</v>
      </c>
      <c r="G5" s="34" t="n">
        <f aca="false">F5*(1+Inputs!$G$65)</f>
        <v>54228</v>
      </c>
    </row>
    <row r="6" customFormat="false" ht="15" hidden="false" customHeight="true" outlineLevel="0" collapsed="false">
      <c r="A6" s="13" t="s">
        <v>551</v>
      </c>
      <c r="C6" s="16" t="n">
        <f aca="false">IFERROR(C5/B5-1,0)</f>
        <v>10.8272628135224</v>
      </c>
      <c r="D6" s="16" t="n">
        <f aca="false">IFERROR(D5/C5-1,0)</f>
        <v>0</v>
      </c>
      <c r="E6" s="16" t="n">
        <f aca="false">IFERROR(E5/D5-1,0)</f>
        <v>0</v>
      </c>
      <c r="F6" s="16" t="n">
        <f aca="false">IFERROR(F5/E5-1,0)</f>
        <v>0</v>
      </c>
      <c r="G6" s="16" t="n">
        <f aca="false">IFERROR(G5/F5-1,0)</f>
        <v>0</v>
      </c>
    </row>
    <row r="7" customFormat="false" ht="15" hidden="false" customHeight="true" outlineLevel="0" collapsed="false">
      <c r="A7" s="13" t="s">
        <v>552</v>
      </c>
      <c r="B7" s="41" t="n">
        <f aca="false">Historicals!D51</f>
        <v>789</v>
      </c>
      <c r="C7" s="34" t="n">
        <f aca="false">Historicals!F51+(Inputs!$B$5+Inputs!$G$60)*Historicals!F51/Historicals!F35</f>
        <v>10728.3934667813</v>
      </c>
      <c r="D7" s="34" t="n">
        <f aca="false">D5*Inputs!$G$61</f>
        <v>10845.6</v>
      </c>
      <c r="E7" s="34" t="n">
        <f aca="false">E5*Inputs!$G$61</f>
        <v>10845.6</v>
      </c>
      <c r="F7" s="34" t="n">
        <f aca="false">F5*Inputs!$G$61</f>
        <v>10845.6</v>
      </c>
      <c r="G7" s="34" t="n">
        <f aca="false">G5*Inputs!$G$61</f>
        <v>10845.6</v>
      </c>
    </row>
    <row r="8" customFormat="false" ht="15" hidden="false" customHeight="true" outlineLevel="0" collapsed="false">
      <c r="A8" s="13" t="s">
        <v>553</v>
      </c>
      <c r="B8" s="34" t="n">
        <f aca="false">B5-B7</f>
        <v>3796</v>
      </c>
      <c r="C8" s="34" t="n">
        <f aca="false">C5-C7</f>
        <v>43499.6065332187</v>
      </c>
      <c r="D8" s="34" t="n">
        <f aca="false">D5-D7</f>
        <v>43382.4</v>
      </c>
      <c r="E8" s="34" t="n">
        <f aca="false">E5-E7</f>
        <v>43382.4</v>
      </c>
      <c r="F8" s="34" t="n">
        <f aca="false">F5-F7</f>
        <v>43382.4</v>
      </c>
      <c r="G8" s="34" t="n">
        <f aca="false">G5-G7</f>
        <v>43382.4</v>
      </c>
    </row>
    <row r="10" customFormat="false" ht="15" hidden="false" customHeight="true" outlineLevel="0" collapsed="false">
      <c r="A10" s="13" t="s">
        <v>250</v>
      </c>
      <c r="B10" s="41" t="n">
        <f aca="false">Historicals!D36</f>
        <v>7326</v>
      </c>
      <c r="C10" s="34" t="n">
        <f aca="false">Historicals!F36+(Inputs!$B$5+Inputs!$G$60)*Inputs!$G$66</f>
        <v>26018.9</v>
      </c>
      <c r="D10" s="34" t="n">
        <f aca="false">C10*(1+Inputs!$G$67)</f>
        <v>44232.13</v>
      </c>
      <c r="E10" s="34" t="n">
        <f aca="false">D10*(1+Inputs!$G$68)</f>
        <v>64136.5885</v>
      </c>
      <c r="F10" s="34" t="n">
        <f aca="false">E10*(1+Inputs!$G$69)</f>
        <v>83377.56505</v>
      </c>
      <c r="G10" s="34" t="n">
        <f aca="false">F10*(1+Inputs!$G$70)</f>
        <v>100053.07806</v>
      </c>
    </row>
    <row r="11" customFormat="false" ht="15" hidden="false" customHeight="true" outlineLevel="0" collapsed="false">
      <c r="A11" s="13" t="s">
        <v>251</v>
      </c>
      <c r="B11" s="41" t="n">
        <f aca="false">Historicals!D37</f>
        <v>1839</v>
      </c>
      <c r="C11" s="34" t="n">
        <f aca="false">Historicals!F37+(Inputs!$B$5+Inputs!$G$60)*Historicals!G24</f>
        <v>9249.6455214193</v>
      </c>
      <c r="D11" s="34" t="n">
        <f aca="false">D5*Inputs!$G$71</f>
        <v>7591.92</v>
      </c>
      <c r="E11" s="34" t="n">
        <f aca="false">E5*Inputs!$G$72</f>
        <v>7049.64</v>
      </c>
      <c r="F11" s="34" t="n">
        <f aca="false">F5*Inputs!$G$73</f>
        <v>6507.36</v>
      </c>
      <c r="G11" s="34" t="n">
        <f aca="false">G5*Inputs!$G$74</f>
        <v>5965.08</v>
      </c>
    </row>
    <row r="12" customFormat="false" ht="15" hidden="false" customHeight="true" outlineLevel="0" collapsed="false">
      <c r="A12" s="13" t="s">
        <v>554</v>
      </c>
      <c r="B12" s="41" t="n">
        <f aca="false">Historicals!D49</f>
        <v>1158</v>
      </c>
      <c r="C12" s="34" t="n">
        <f aca="false">Historicals!F49+(Inputs!$B$5+Inputs!$G$60)*Historicals!G29</f>
        <v>6325.61981826049</v>
      </c>
      <c r="D12" s="34" t="n">
        <f aca="false">D5*Inputs!$G$75</f>
        <v>4880.52</v>
      </c>
      <c r="E12" s="34" t="n">
        <f aca="false">E5*Inputs!$G$76</f>
        <v>4338.24</v>
      </c>
      <c r="F12" s="34" t="n">
        <f aca="false">F5*Inputs!$G$77</f>
        <v>3795.96</v>
      </c>
      <c r="G12" s="34" t="n">
        <f aca="false">G5*Inputs!$G$78</f>
        <v>3253.68</v>
      </c>
    </row>
    <row r="13" customFormat="false" ht="15" hidden="false" customHeight="true" outlineLevel="0" collapsed="false">
      <c r="A13" s="13" t="s">
        <v>555</v>
      </c>
      <c r="B13" s="41" t="n">
        <f aca="false">Historicals!D39</f>
        <v>568</v>
      </c>
      <c r="C13" s="34" t="n">
        <f aca="false">Historicals!F39+(Inputs!$B$5+Inputs!$G$60)*Historicals!G25</f>
        <v>10178.486369537</v>
      </c>
      <c r="D13" s="34" t="n">
        <f aca="false">D5*Inputs!$G$79</f>
        <v>9218.76</v>
      </c>
      <c r="E13" s="34" t="n">
        <f aca="false">E5*Inputs!$G$80</f>
        <v>8676.48</v>
      </c>
      <c r="F13" s="34" t="n">
        <f aca="false">F5*Inputs!$G$81</f>
        <v>8134.2</v>
      </c>
      <c r="G13" s="34" t="n">
        <f aca="false">G5*Inputs!$G$82</f>
        <v>8134.2</v>
      </c>
    </row>
    <row r="14" customFormat="false" ht="15" hidden="false" customHeight="true" outlineLevel="0" collapsed="false">
      <c r="A14" s="13" t="s">
        <v>556</v>
      </c>
      <c r="B14" s="41" t="n">
        <f aca="false">Historicals!D40</f>
        <v>1412</v>
      </c>
      <c r="C14" s="34" t="n">
        <f aca="false">Historicals!F40+(Inputs!$B$5+Inputs!$G$60)*Historicals!G26</f>
        <v>5099.39177845089</v>
      </c>
      <c r="D14" s="34" t="n">
        <f aca="false">D5*Inputs!$G$83</f>
        <v>4338.24</v>
      </c>
      <c r="E14" s="34" t="n">
        <f aca="false">E5*Inputs!$G$84</f>
        <v>3795.96</v>
      </c>
      <c r="F14" s="34" t="n">
        <f aca="false">F5*Inputs!$G$85</f>
        <v>3253.68</v>
      </c>
      <c r="G14" s="34" t="n">
        <f aca="false">G5*Inputs!$G$86</f>
        <v>3253.68</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65381.05</v>
      </c>
      <c r="E16" s="36" t="n">
        <f aca="false">E10+E11+E13+E14+E15</f>
        <v>83658.6685</v>
      </c>
      <c r="F16" s="36" t="n">
        <f aca="false">F10+F11+F13+F14+F15</f>
        <v>101272.80505</v>
      </c>
      <c r="G16" s="36" t="n">
        <f aca="false">G10+G11+G13+G14+G15</f>
        <v>117406.03806</v>
      </c>
    </row>
    <row r="17" customFormat="false" ht="15" hidden="false" customHeight="true" outlineLevel="0" collapsed="false">
      <c r="A17" s="10" t="s">
        <v>558</v>
      </c>
      <c r="B17" s="35" t="n">
        <f aca="false">B5-B16</f>
        <v>-8060</v>
      </c>
      <c r="C17" s="35" t="n">
        <f aca="false">C5-C16</f>
        <v>1681.57633059282</v>
      </c>
      <c r="D17" s="35" t="n">
        <f aca="false">D5-D16</f>
        <v>-11153.05</v>
      </c>
      <c r="E17" s="35" t="n">
        <f aca="false">E5-E16</f>
        <v>-29430.6685</v>
      </c>
      <c r="F17" s="35" t="n">
        <f aca="false">F5-F16</f>
        <v>-47044.80505</v>
      </c>
      <c r="G17" s="35" t="n">
        <f aca="false">G5-G16</f>
        <v>-63178.03806</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-0.205669580290625</v>
      </c>
      <c r="E18" s="16" t="n">
        <f aca="false">IFERROR(E17/E5,0)</f>
        <v>-0.542720891421406</v>
      </c>
      <c r="F18" s="16" t="n">
        <f aca="false">IFERROR(F17/F5,0)</f>
        <v>-0.867537158847828</v>
      </c>
      <c r="G18" s="16" t="n">
        <f aca="false">IFERROR(G17/G5,0)</f>
        <v>-1.16504459061739</v>
      </c>
    </row>
    <row r="19" customFormat="false" ht="15" hidden="false" customHeight="true" outlineLevel="0" collapsed="false">
      <c r="A19" s="13" t="s">
        <v>560</v>
      </c>
      <c r="B19" s="16" t="n">
        <f aca="false">IFERROR(B10/B5,0)</f>
        <v>1.59781897491821</v>
      </c>
      <c r="C19" s="16" t="n">
        <f aca="false">IFERROR(C10/C5,0)</f>
        <v>0.479805635465073</v>
      </c>
      <c r="D19" s="16" t="n">
        <f aca="false">IFERROR(D10/D5,0)</f>
        <v>0.815669580290625</v>
      </c>
      <c r="E19" s="16" t="n">
        <f aca="false">IFERROR(E10/E5,0)</f>
        <v>1.18272089142141</v>
      </c>
      <c r="F19" s="16" t="n">
        <f aca="false">IFERROR(F10/F5,0)</f>
        <v>1.53753715884783</v>
      </c>
      <c r="G19" s="16" t="n">
        <f aca="false">IFERROR(G10/G5,0)</f>
        <v>1.84504459061739</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1/(1+Inputs!$B$19+Inputs!$G$89)^1</f>
        <v>0.892857142857143</v>
      </c>
      <c r="E21" s="52" t="n">
        <f aca="false">1/(1+Inputs!$B$19+Inputs!$G$89)^2</f>
        <v>0.79719387755102</v>
      </c>
      <c r="F21" s="52" t="n">
        <f aca="false">1/(1+Inputs!$B$19+Inputs!$G$89)^3</f>
        <v>0.711780247813411</v>
      </c>
      <c r="G21" s="52" t="n">
        <f aca="false">1/(1+Inputs!$B$19+Inputs!$G$89)^4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1084.56</v>
      </c>
      <c r="E25" s="34" t="n">
        <f aca="false">E5*E24</f>
        <v>2711.4</v>
      </c>
      <c r="F25" s="34" t="n">
        <f aca="false">F5*F24</f>
        <v>5422.8</v>
      </c>
      <c r="G25" s="34" t="n">
        <f aca="false">G5*G24</f>
        <v>8134.2</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8676.48</v>
      </c>
      <c r="E27" s="34" t="n">
        <f aca="false">E25*E26</f>
        <v>21691.2</v>
      </c>
      <c r="F27" s="34" t="n">
        <f aca="false">F25*F26</f>
        <v>43382.4</v>
      </c>
      <c r="G27" s="34" t="n">
        <f aca="false">G25*G26</f>
        <v>65073.6</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1301.472</v>
      </c>
      <c r="E29" s="36" t="n">
        <f aca="false">E27*E28</f>
        <v>3253.68</v>
      </c>
      <c r="F29" s="36" t="n">
        <f aca="false">F27*F28</f>
        <v>6507.36</v>
      </c>
      <c r="G29" s="36" t="n">
        <f aca="false">G27*G28</f>
        <v>9761.04</v>
      </c>
    </row>
    <row r="30" customFormat="false" ht="15" hidden="false" customHeight="true" outlineLevel="0" collapsed="false">
      <c r="A30" s="13" t="s">
        <v>570</v>
      </c>
      <c r="C30" s="34" t="n">
        <f aca="false">C25*Inputs!$C$103</f>
        <v>0</v>
      </c>
      <c r="D30" s="34" t="n">
        <f aca="false">D25*Inputs!$C$103</f>
        <v>325.368</v>
      </c>
      <c r="E30" s="34" t="n">
        <f aca="false">E25*Inputs!$C$103</f>
        <v>813.42</v>
      </c>
      <c r="F30" s="34" t="n">
        <f aca="false">F25*Inputs!$C$103</f>
        <v>1626.84</v>
      </c>
      <c r="G30" s="34" t="n">
        <f aca="false">G25*Inputs!$C$103</f>
        <v>2440.26</v>
      </c>
    </row>
    <row r="31" customFormat="false" ht="15" hidden="false" customHeight="true" outlineLevel="0" collapsed="false">
      <c r="A31" s="13" t="s">
        <v>571</v>
      </c>
      <c r="C31" s="34" t="n">
        <f aca="false">C29-C30</f>
        <v>0</v>
      </c>
      <c r="D31" s="34" t="n">
        <f aca="false">D29-D30</f>
        <v>976.104</v>
      </c>
      <c r="E31" s="34" t="n">
        <f aca="false">E29-E30</f>
        <v>2440.26</v>
      </c>
      <c r="F31" s="34" t="n">
        <f aca="false">F29-F30</f>
        <v>4880.52</v>
      </c>
      <c r="G31" s="34" t="n">
        <f aca="false">G29-G30</f>
        <v>7320.78</v>
      </c>
    </row>
    <row r="32" customFormat="false" ht="15" hidden="false" customHeight="true" outlineLevel="0" collapsed="false">
      <c r="A32" s="13" t="s">
        <v>572</v>
      </c>
      <c r="C32" s="34" t="n">
        <f aca="false">C29*Inputs!$C$104</f>
        <v>0</v>
      </c>
      <c r="D32" s="34" t="n">
        <f aca="false">D29*Inputs!$C$104</f>
        <v>260.2944</v>
      </c>
      <c r="E32" s="34" t="n">
        <f aca="false">E29*Inputs!$C$104</f>
        <v>650.736</v>
      </c>
      <c r="F32" s="34" t="n">
        <f aca="false">F29*Inputs!$C$104</f>
        <v>1301.472</v>
      </c>
      <c r="G32" s="34" t="n">
        <f aca="false">G29*Inputs!$C$104</f>
        <v>1952.208</v>
      </c>
    </row>
    <row r="33" customFormat="false" ht="15" hidden="false" customHeight="true" outlineLevel="0" collapsed="false">
      <c r="A33" s="13" t="s">
        <v>573</v>
      </c>
      <c r="C33" s="34" t="n">
        <f aca="false">C29*Inputs!$C$105</f>
        <v>0</v>
      </c>
      <c r="D33" s="34" t="n">
        <f aca="false">D29*Inputs!$C$105</f>
        <v>195.2208</v>
      </c>
      <c r="E33" s="34" t="n">
        <f aca="false">E29*Inputs!$C$105</f>
        <v>488.052</v>
      </c>
      <c r="F33" s="34" t="n">
        <f aca="false">F29*Inputs!$C$105</f>
        <v>976.104</v>
      </c>
      <c r="G33" s="34" t="n">
        <f aca="false">G29*Inputs!$C$105</f>
        <v>1464.156</v>
      </c>
    </row>
    <row r="34" customFormat="false" ht="15" hidden="false" customHeight="true" outlineLevel="0" collapsed="false">
      <c r="A34" s="13" t="s">
        <v>574</v>
      </c>
      <c r="C34" s="34" t="n">
        <f aca="false">C29*Inputs!$C$106</f>
        <v>0</v>
      </c>
      <c r="D34" s="34" t="n">
        <f aca="false">D29*Inputs!$C$106</f>
        <v>130.1472</v>
      </c>
      <c r="E34" s="34" t="n">
        <f aca="false">E29*Inputs!$C$106</f>
        <v>325.368</v>
      </c>
      <c r="F34" s="34" t="n">
        <f aca="false">F29*Inputs!$C$106</f>
        <v>650.736</v>
      </c>
      <c r="G34" s="34" t="n">
        <f aca="false">G29*Inputs!$C$106</f>
        <v>976.104</v>
      </c>
    </row>
    <row r="35" customFormat="false" ht="15" hidden="false" customHeight="true" outlineLevel="0" collapsed="false">
      <c r="A35" s="10" t="s">
        <v>575</v>
      </c>
      <c r="C35" s="35" t="n">
        <f aca="false">C29-C30-C32-C33-C34</f>
        <v>0</v>
      </c>
      <c r="D35" s="35" t="n">
        <f aca="false">D29-D30-D32-D33-D34</f>
        <v>390.4416</v>
      </c>
      <c r="E35" s="35" t="n">
        <f aca="false">E29-E30-E32-E33-E34</f>
        <v>976.104</v>
      </c>
      <c r="F35" s="35" t="n">
        <f aca="false">F29-F30-F32-F33-F34</f>
        <v>1952.208</v>
      </c>
      <c r="G35" s="35" t="n">
        <f aca="false">G29-G30-G32-G33-G34</f>
        <v>2928.312</v>
      </c>
    </row>
    <row r="36" customFormat="false" ht="15" hidden="false" customHeight="true" outlineLevel="0" collapsed="false">
      <c r="A36" s="13" t="s">
        <v>91</v>
      </c>
      <c r="C36" s="54" t="n">
        <f aca="false">IFERROR(C27/Inputs!$B$27,0)</f>
        <v>0</v>
      </c>
      <c r="D36" s="54" t="n">
        <f aca="false">IFERROR(D27/Inputs!$B$27,0)</f>
        <v>0.000216912</v>
      </c>
      <c r="E36" s="54" t="n">
        <f aca="false">IFERROR(E27/Inputs!$B$27,0)</f>
        <v>0.00054228</v>
      </c>
      <c r="F36" s="54" t="n">
        <f aca="false">IFERROR(F27/Inputs!$B$27,0)</f>
        <v>0.00108456</v>
      </c>
      <c r="G36" s="54" t="n">
        <f aca="false">IFERROR(G27/Inputs!$B$27,0)</f>
        <v>0.00162684</v>
      </c>
    </row>
    <row r="37" customFormat="false" ht="15" hidden="false" customHeight="true" outlineLevel="0" collapsed="false">
      <c r="A37" s="13" t="s">
        <v>576</v>
      </c>
      <c r="C37" s="34" t="n">
        <f aca="false">CHOOSE(Inputs!$B$35,C31*Inputs!B$55,C29*Inputs!$B$36,0)</f>
        <v>0</v>
      </c>
      <c r="D37" s="34" t="n">
        <f aca="false">CHOOSE(Inputs!$B$35,D31*Inputs!C$55,D29*Inputs!$B$36,0)</f>
        <v>39.04416</v>
      </c>
      <c r="E37" s="34" t="n">
        <f aca="false">CHOOSE(Inputs!$B$35,E31*Inputs!D$55,E29*Inputs!$B$36,0)</f>
        <v>122.013</v>
      </c>
      <c r="F37" s="34" t="n">
        <f aca="false">CHOOSE(Inputs!$B$35,F31*Inputs!E$55,F29*Inputs!$B$36,0)</f>
        <v>244.026</v>
      </c>
      <c r="G37" s="34" t="n">
        <f aca="false">CHOOSE(Inputs!$B$35,G31*Inputs!F$55,G29*Inputs!$B$36,0)</f>
        <v>366.039</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Inputs!$G$92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44232.13</v>
      </c>
      <c r="E44" s="34" t="n">
        <f aca="false">E10*Inputs!$B$39</f>
        <v>64136.5885</v>
      </c>
      <c r="F44" s="34" t="n">
        <f aca="false">F10*Inputs!$B$39</f>
        <v>83377.56505</v>
      </c>
      <c r="G44" s="34" t="n">
        <f aca="false">G10*Inputs!$B$39</f>
        <v>100053.07806</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54228</v>
      </c>
      <c r="E49" s="34" t="n">
        <f aca="false">E5</f>
        <v>54228</v>
      </c>
      <c r="F49" s="34" t="n">
        <f aca="false">F5</f>
        <v>54228</v>
      </c>
      <c r="G49" s="34" t="n">
        <f aca="false">G5</f>
        <v>54228</v>
      </c>
    </row>
    <row r="50" customFormat="false" ht="15" hidden="false" customHeight="true" outlineLevel="0" collapsed="false">
      <c r="A50" s="13" t="s">
        <v>558</v>
      </c>
      <c r="C50" s="34" t="n">
        <f aca="false">C17</f>
        <v>1681.57633059282</v>
      </c>
      <c r="D50" s="34" t="n">
        <f aca="false">D17</f>
        <v>-11153.05</v>
      </c>
      <c r="E50" s="34" t="n">
        <f aca="false">E17</f>
        <v>-29430.6685</v>
      </c>
      <c r="F50" s="34" t="n">
        <f aca="false">F17</f>
        <v>-47044.80505</v>
      </c>
      <c r="G50" s="34" t="n">
        <f aca="false">G17</f>
        <v>-63178.03806</v>
      </c>
    </row>
    <row r="51" customFormat="false" ht="15" hidden="false" customHeight="true" outlineLevel="0" collapsed="false">
      <c r="A51" s="13" t="s">
        <v>586</v>
      </c>
      <c r="C51" s="34" t="n">
        <f aca="false">C5*Inputs!B$55</f>
        <v>1626.84</v>
      </c>
      <c r="D51" s="34" t="n">
        <f aca="false">D5*Inputs!C$55</f>
        <v>2169.12</v>
      </c>
      <c r="E51" s="34" t="n">
        <f aca="false">E5*Inputs!D$55</f>
        <v>2711.4</v>
      </c>
      <c r="F51" s="34" t="n">
        <f aca="false">F5*Inputs!E$55</f>
        <v>2711.4</v>
      </c>
      <c r="G51" s="34" t="n">
        <f aca="false">G5*Inputs!F$55</f>
        <v>2711.4</v>
      </c>
    </row>
    <row r="52" customFormat="false" ht="15" hidden="false" customHeight="true" outlineLevel="0" collapsed="false">
      <c r="A52" s="13" t="s">
        <v>587</v>
      </c>
      <c r="C52" s="33" t="n">
        <v>0</v>
      </c>
      <c r="D52" s="34" t="n">
        <f aca="false">SUMPRODUCT($D51:D51,--((4-COLUMN($D51:D51))&lt;Inputs!$B$32))/Inputs!$B$32</f>
        <v>433.824</v>
      </c>
      <c r="E52" s="34" t="n">
        <f aca="false">SUMPRODUCT($D51:E51,--((5-COLUMN($D51:E51))&lt;Inputs!$B$32))/Inputs!$B$32</f>
        <v>976.104</v>
      </c>
      <c r="F52" s="34" t="n">
        <f aca="false">SUMPRODUCT($D51:F51,--((6-COLUMN($D51:F51))&lt;Inputs!$B$32))/Inputs!$B$32</f>
        <v>1518.384</v>
      </c>
      <c r="G52" s="34" t="n">
        <f aca="false">SUMPRODUCT($D51:G51,--((7-COLUMN($D51:G51))&lt;Inputs!$B$32))/Inputs!$B$32</f>
        <v>2060.664</v>
      </c>
    </row>
    <row r="53" customFormat="false" ht="15" hidden="false" customHeight="true" outlineLevel="0" collapsed="false">
      <c r="A53" s="10" t="s">
        <v>588</v>
      </c>
      <c r="C53" s="36" t="n">
        <f aca="false">C50-C52</f>
        <v>1681.57633059282</v>
      </c>
      <c r="D53" s="36" t="n">
        <f aca="false">D50-D52</f>
        <v>-11586.874</v>
      </c>
      <c r="E53" s="36" t="n">
        <f aca="false">E50-E52</f>
        <v>-30406.7725</v>
      </c>
      <c r="F53" s="36" t="n">
        <f aca="false">F50-F52</f>
        <v>-48563.18905</v>
      </c>
      <c r="G53" s="36" t="n">
        <f aca="false">G50-G52</f>
        <v>-65238.70206</v>
      </c>
    </row>
    <row r="54" customFormat="false" ht="15" hidden="false" customHeight="true" outlineLevel="0" collapsed="false">
      <c r="A54" s="13" t="s">
        <v>589</v>
      </c>
      <c r="C54" s="16" t="n">
        <f aca="false">IFERROR(C53/C49,0)</f>
        <v>0.0310093739505942</v>
      </c>
      <c r="D54" s="16" t="n">
        <f aca="false">IFERROR(D53/D49,0)</f>
        <v>-0.213669580290625</v>
      </c>
      <c r="E54" s="16" t="n">
        <f aca="false">IFERROR(E53/E49,0)</f>
        <v>-0.560720891421406</v>
      </c>
      <c r="F54" s="16" t="n">
        <f aca="false">IFERROR(F53/F49,0)</f>
        <v>-0.895537158847828</v>
      </c>
      <c r="G54" s="16" t="n">
        <f aca="false">IFERROR(G53/G49,0)</f>
        <v>-1.20304459061739</v>
      </c>
    </row>
    <row r="55" customFormat="false" ht="15" hidden="false" customHeight="true" outlineLevel="0" collapsed="false">
      <c r="A55" s="13" t="s">
        <v>590</v>
      </c>
      <c r="C55" s="34" t="n">
        <f aca="false">Historicals!F43+C80*Inputs!$B$20/2</f>
        <v>2756.6375</v>
      </c>
      <c r="D55" s="34" t="n">
        <f aca="false">MAX(0,D80-D81)*Inputs!$B$20</f>
        <v>3507.94776314153</v>
      </c>
      <c r="E55" s="34" t="n">
        <f aca="false">MAX(0,E80-E81)*Inputs!$B$20</f>
        <v>3384.60520722006</v>
      </c>
      <c r="F55" s="34" t="n">
        <f aca="false">MAX(0,F80-F81)*Inputs!$B$20</f>
        <v>2774.12462490056</v>
      </c>
      <c r="G55" s="34" t="n">
        <f aca="false">MAX(0,G80-G81)*Inputs!$B$20</f>
        <v>1694.47161427308</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-8078.92623685848</v>
      </c>
      <c r="E58" s="34" t="n">
        <f aca="false">E53+E55+E56-E57</f>
        <v>-27022.16729278</v>
      </c>
      <c r="F58" s="34" t="n">
        <f aca="false">F53+F55+F56-F57</f>
        <v>-45789.0644250994</v>
      </c>
      <c r="G58" s="34" t="n">
        <f aca="false">G53+G55+G56-G57</f>
        <v>-63544.2304457269</v>
      </c>
    </row>
    <row r="59" customFormat="false" ht="15" hidden="false" customHeight="true" outlineLevel="0" collapsed="false">
      <c r="A59" s="13" t="s">
        <v>594</v>
      </c>
      <c r="C59" s="34" t="n">
        <f aca="false">C58*Inputs!$B$46</f>
        <v>3195.51395802683</v>
      </c>
      <c r="D59" s="34" t="n">
        <f aca="false">D58*Inputs!$B$46</f>
        <v>-5816.8268905381</v>
      </c>
      <c r="E59" s="34" t="n">
        <f aca="false">E58*Inputs!$B$46</f>
        <v>-19455.9604508016</v>
      </c>
      <c r="F59" s="34" t="n">
        <f aca="false">F58*Inputs!$B$46</f>
        <v>-32968.1263860716</v>
      </c>
      <c r="G59" s="34" t="n">
        <f aca="false">G58*Inputs!$B$46</f>
        <v>-45751.8459209234</v>
      </c>
    </row>
    <row r="60" customFormat="false" ht="15" hidden="false" customHeight="true" outlineLevel="0" collapsed="false">
      <c r="A60" s="13" t="s">
        <v>595</v>
      </c>
      <c r="C60" s="34" t="n">
        <f aca="false">Inputs!$B$48</f>
        <v>4200</v>
      </c>
      <c r="D60" s="34" t="n">
        <f aca="false">C62</f>
        <v>4200</v>
      </c>
      <c r="E60" s="34" t="n">
        <f aca="false">D62</f>
        <v>10016.8268905381</v>
      </c>
      <c r="F60" s="34" t="n">
        <f aca="false">E62</f>
        <v>29472.7873413397</v>
      </c>
      <c r="G60" s="34" t="n">
        <f aca="false">F62</f>
        <v>62440.9137274113</v>
      </c>
    </row>
    <row r="61" customFormat="false" ht="15" hidden="false" customHeight="true" outlineLevel="0" collapsed="false">
      <c r="A61" s="13" t="s">
        <v>596</v>
      </c>
      <c r="C61" s="34" t="n">
        <f aca="false">IF(AND(2026=2026,Inputs!$B$49=1),0,MIN(C60,MAX(0,C59)))</f>
        <v>0</v>
      </c>
      <c r="D61" s="34" t="n">
        <f aca="false">IF(AND(2027=2026,Inputs!$B$49=1),0,MIN(D60,MAX(0,D59)))</f>
        <v>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10016.8268905381</v>
      </c>
      <c r="E62" s="34" t="n">
        <f aca="false">E60-E61+MAX(0,-E59)</f>
        <v>29472.7873413397</v>
      </c>
      <c r="F62" s="34" t="n">
        <f aca="false">F60-F61+MAX(0,-F59)</f>
        <v>62440.9137274113</v>
      </c>
      <c r="G62" s="34" t="n">
        <f aca="false">G60-G61+MAX(0,-G59)</f>
        <v>108192.759648335</v>
      </c>
    </row>
    <row r="63" customFormat="false" ht="15" hidden="false" customHeight="true" outlineLevel="0" collapsed="false">
      <c r="A63" s="13" t="s">
        <v>598</v>
      </c>
      <c r="C63" s="34" t="n">
        <f aca="false">MAX(0,C59-C61)*Inputs!$B$47</f>
        <v>191.73083748161</v>
      </c>
      <c r="D63" s="34" t="n">
        <f aca="false">MAX(0,D59-D61)*Inputs!$B$47</f>
        <v>0</v>
      </c>
      <c r="E63" s="34" t="n">
        <f aca="false">MAX(0,E59-E61)*Inputs!$B$47</f>
        <v>0</v>
      </c>
      <c r="F63" s="34" t="n">
        <f aca="false">MAX(0,F59-F61)*Inputs!$B$47</f>
        <v>0</v>
      </c>
      <c r="G63" s="34" t="n">
        <f aca="false">MAX(0,G59-G61)*Inputs!$B$47</f>
        <v>0</v>
      </c>
    </row>
    <row r="64" customFormat="false" ht="15" hidden="false" customHeight="true" outlineLevel="0" collapsed="false">
      <c r="A64" s="13" t="s">
        <v>599</v>
      </c>
      <c r="C64" s="34" t="n">
        <f aca="false">C58-C63</f>
        <v>4246.48299311121</v>
      </c>
      <c r="D64" s="34" t="n">
        <f aca="false">D58-D63</f>
        <v>-8078.92623685848</v>
      </c>
      <c r="E64" s="34" t="n">
        <f aca="false">E58-E63</f>
        <v>-27022.16729278</v>
      </c>
      <c r="F64" s="34" t="n">
        <f aca="false">F58-F63</f>
        <v>-45789.0644250994</v>
      </c>
      <c r="G64" s="34" t="n">
        <f aca="false">G58-G63</f>
        <v>-63544.2304457269</v>
      </c>
    </row>
    <row r="65" customFormat="false" ht="15" hidden="false" customHeight="true" outlineLevel="0" collapsed="false">
      <c r="A65" s="13" t="s">
        <v>600</v>
      </c>
      <c r="C65" s="34" t="n">
        <f aca="false">Inputs!$B$44</f>
        <v>8200</v>
      </c>
      <c r="D65" s="34" t="n">
        <f aca="false">C67</f>
        <v>4802.81360551103</v>
      </c>
      <c r="E65" s="34" t="n">
        <f aca="false">D67</f>
        <v>12881.7398423695</v>
      </c>
      <c r="F65" s="34" t="n">
        <f aca="false">E67</f>
        <v>39903.9071351495</v>
      </c>
      <c r="G65" s="34" t="n">
        <f aca="false">F67</f>
        <v>85692.9715602489</v>
      </c>
    </row>
    <row r="66" customFormat="false" ht="15" hidden="false" customHeight="true" outlineLevel="0" collapsed="false">
      <c r="A66" s="13" t="s">
        <v>601</v>
      </c>
      <c r="C66" s="34" t="n">
        <f aca="false">MIN(C65,Inputs!$B$45*MAX(0,C64))</f>
        <v>3397.18639448897</v>
      </c>
      <c r="D66" s="34" t="n">
        <f aca="false">MIN(D65,Inputs!$B$45*MAX(0,D64))</f>
        <v>0</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12881.7398423695</v>
      </c>
      <c r="E67" s="34" t="n">
        <f aca="false">E65-E66+MAX(0,-E64)</f>
        <v>39903.9071351495</v>
      </c>
      <c r="F67" s="34" t="n">
        <f aca="false">F65-F66+MAX(0,-F64)</f>
        <v>85692.9715602489</v>
      </c>
      <c r="G67" s="34" t="n">
        <f aca="false">G65-G66+MAX(0,-G64)</f>
        <v>149237.202005976</v>
      </c>
    </row>
    <row r="68" customFormat="false" ht="15" hidden="false" customHeight="true" outlineLevel="0" collapsed="false">
      <c r="A68" s="13" t="s">
        <v>603</v>
      </c>
      <c r="C68" s="34" t="n">
        <f aca="false">MAX(0,C64-C66)*Inputs!$B$43</f>
        <v>178.352285710671</v>
      </c>
      <c r="D68" s="34" t="n">
        <f aca="false">MAX(0,D64-D66)*Inputs!$B$43</f>
        <v>0</v>
      </c>
      <c r="E68" s="34" t="n">
        <f aca="false">MAX(0,E64-E66)*Inputs!$B$43</f>
        <v>0</v>
      </c>
      <c r="F68" s="34" t="n">
        <f aca="false">MAX(0,F64-F66)*Inputs!$B$43</f>
        <v>0</v>
      </c>
      <c r="G68" s="34" t="n">
        <f aca="false">MAX(0,G64-G66)*Inputs!$B$43</f>
        <v>0</v>
      </c>
    </row>
    <row r="69" customFormat="false" ht="15" hidden="false" customHeight="true" outlineLevel="0" collapsed="false">
      <c r="A69" s="10" t="s">
        <v>604</v>
      </c>
      <c r="C69" s="36" t="n">
        <f aca="false">IF(Inputs!$G$90=0,MAX(0,C53+C55)*Inputs!B$54,IF(Inputs!$G$90=2,MAX(0,C58)*Inputs!$G$91,C63+C68))</f>
        <v>370.083123192281</v>
      </c>
      <c r="D69" s="36" t="n">
        <f aca="false">IF(Inputs!$G$90=0,MAX(0,D53+D55)*Inputs!C$54,IF(Inputs!$G$90=2,MAX(0,D58)*Inputs!$G$91,D63+D68))</f>
        <v>0</v>
      </c>
      <c r="E69" s="36" t="n">
        <f aca="false">IF(Inputs!$G$90=0,MAX(0,E53+E55)*Inputs!D$54,IF(Inputs!$G$90=2,MAX(0,E58)*Inputs!$G$91,E63+E68))</f>
        <v>0</v>
      </c>
      <c r="F69" s="36" t="n">
        <f aca="false">IF(Inputs!$G$90=0,MAX(0,F53+F55)*Inputs!E$54,IF(Inputs!$G$90=2,MAX(0,F58)*Inputs!$G$91,F63+F68))</f>
        <v>0</v>
      </c>
      <c r="G69" s="36" t="n">
        <f aca="false">IF(Inputs!$G$90=0,MAX(0,G53+G55)*Inputs!F$54,IF(Inputs!$G$90=2,MAX(0,G58)*Inputs!$G$91,G63+G68))</f>
        <v>0</v>
      </c>
    </row>
    <row r="70" customFormat="false" ht="15" hidden="false" customHeight="true" outlineLevel="0" collapsed="false">
      <c r="A70" s="13" t="s">
        <v>605</v>
      </c>
      <c r="C70" s="16" t="n">
        <f aca="false">IF(C58&gt;0,MIN(1,C69/C58),0)</f>
        <v>0.0833856</v>
      </c>
      <c r="D70" s="16" t="n">
        <f aca="false">IF(D58&gt;0,MIN(1,D69/D58),0)</f>
        <v>0</v>
      </c>
      <c r="E70" s="16" t="n">
        <f aca="false">IF(E58&gt;0,MIN(1,E69/E58),0)</f>
        <v>0</v>
      </c>
      <c r="F70" s="16" t="n">
        <f aca="false">IF(F58&gt;0,MIN(1,F69/F58),0)</f>
        <v>0</v>
      </c>
      <c r="G70" s="16" t="n">
        <f aca="false">IF(G58&gt;0,MIN(1,G69/G58),0)</f>
        <v>0</v>
      </c>
    </row>
    <row r="71" customFormat="false" ht="15" hidden="false" customHeight="true" outlineLevel="0" collapsed="false">
      <c r="A71" s="13" t="s">
        <v>606</v>
      </c>
      <c r="C71" s="34" t="n">
        <f aca="false">C53+C55-C69</f>
        <v>4068.13070740054</v>
      </c>
      <c r="D71" s="34" t="n">
        <f aca="false">D53+D55-D69</f>
        <v>-8078.92623685848</v>
      </c>
      <c r="E71" s="34" t="n">
        <f aca="false">E53+E55-E69</f>
        <v>-27022.16729278</v>
      </c>
      <c r="F71" s="34" t="n">
        <f aca="false">F53+F55-F69</f>
        <v>-45789.0644250994</v>
      </c>
      <c r="G71" s="34" t="n">
        <f aca="false">G53+G55-G69</f>
        <v>-63544.2304457269</v>
      </c>
    </row>
    <row r="72" customFormat="false" ht="15" hidden="false" customHeight="true" outlineLevel="0" collapsed="false">
      <c r="A72" s="13" t="s">
        <v>607</v>
      </c>
      <c r="C72" s="34" t="n">
        <f aca="false">C12+C20</f>
        <v>8451.61981826049</v>
      </c>
      <c r="D72" s="34" t="n">
        <f aca="false">D12+D20</f>
        <v>4880.52</v>
      </c>
      <c r="E72" s="34" t="n">
        <f aca="false">E12+E20</f>
        <v>4338.24</v>
      </c>
      <c r="F72" s="34" t="n">
        <f aca="false">F12+F20</f>
        <v>3795.96</v>
      </c>
      <c r="G72" s="34" t="n">
        <f aca="false">G12+G20</f>
        <v>3253.68</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10892.910525661</v>
      </c>
      <c r="D75" s="36" t="n">
        <f aca="false">D53+D72+D52+D55-D69-D51+D73+D74</f>
        <v>-4933.70223685848</v>
      </c>
      <c r="E75" s="36" t="n">
        <f aca="false">E53+E72+E52+E55-E69-E51+E73+E74</f>
        <v>-24419.22329278</v>
      </c>
      <c r="F75" s="36" t="n">
        <f aca="false">F53+F72+F52+F55-F69-F51+F73+F74</f>
        <v>-43186.1204250994</v>
      </c>
      <c r="G75" s="36" t="n">
        <f aca="false">G53+G72+G52+G55-G69-G51+G73+G74</f>
        <v>-60941.2864457269</v>
      </c>
    </row>
    <row r="76" customFormat="false" ht="15" hidden="false" customHeight="true" outlineLevel="0" collapsed="false">
      <c r="A76" s="10" t="s">
        <v>611</v>
      </c>
      <c r="C76" s="36" t="n">
        <f aca="false">C53+C52-(C69-C55*C70)-C51+C73+C74</f>
        <v>-85.4829206794611</v>
      </c>
      <c r="D76" s="36" t="n">
        <f aca="false">D53+D52-(D69-D55*D70)-D51+D73+D74</f>
        <v>-13322.17</v>
      </c>
      <c r="E76" s="36" t="n">
        <f aca="false">E53+E52-(E69-E55*E70)-E51+E73+E74</f>
        <v>-32142.0685</v>
      </c>
      <c r="F76" s="36" t="n">
        <f aca="false">F53+F52-(F69-F55*F70)-F51+F73+F74</f>
        <v>-49756.20505</v>
      </c>
      <c r="G76" s="36" t="n">
        <f aca="false">G53+G52-(G69-G55*G70)-G51+G73+G74</f>
        <v>-65889.43806</v>
      </c>
    </row>
    <row r="77" customFormat="false" ht="15" hidden="false" customHeight="true" outlineLevel="0" collapsed="false">
      <c r="A77" s="13" t="s">
        <v>612</v>
      </c>
      <c r="C77" s="16" t="n">
        <f aca="false">IFERROR(C76/C49,0)</f>
        <v>-0.00157636130190052</v>
      </c>
      <c r="D77" s="16" t="n">
        <f aca="false">IFERROR(D76/D49,0)</f>
        <v>-0.245669580290625</v>
      </c>
      <c r="E77" s="16" t="n">
        <f aca="false">IFERROR(E76/E49,0)</f>
        <v>-0.592720891421406</v>
      </c>
      <c r="F77" s="16" t="n">
        <f aca="false">IFERROR(F76/F49,0)</f>
        <v>-0.917537158847828</v>
      </c>
      <c r="G77" s="16" t="n">
        <f aca="false">IFERROR(G76/G49,0)</f>
        <v>-1.21504459061739</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140317.910525661</v>
      </c>
      <c r="E80" s="34" t="n">
        <f aca="false">D85</f>
        <v>135384.208288803</v>
      </c>
      <c r="F80" s="34" t="n">
        <f aca="false">E85</f>
        <v>110964.984996023</v>
      </c>
      <c r="G80" s="34" t="n">
        <f aca="false">F85</f>
        <v>67778.8645709231</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8666.91052566103</v>
      </c>
      <c r="D82" s="34" t="n">
        <f aca="false">D75</f>
        <v>-4933.70223685848</v>
      </c>
      <c r="E82" s="34" t="n">
        <f aca="false">E75</f>
        <v>-24419.22329278</v>
      </c>
      <c r="F82" s="34" t="n">
        <f aca="false">F75</f>
        <v>-43186.1204250994</v>
      </c>
      <c r="G82" s="34" t="n">
        <f aca="false">G75</f>
        <v>-60941.2864457269</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140317.910525661</v>
      </c>
      <c r="D85" s="36" t="n">
        <f aca="false">D80+D82+D83+D84</f>
        <v>135384.208288803</v>
      </c>
      <c r="E85" s="36" t="n">
        <f aca="false">E80+E82+E83+E84</f>
        <v>110964.984996023</v>
      </c>
      <c r="F85" s="36" t="n">
        <f aca="false">F80+F82+F83+F84</f>
        <v>67778.8645709231</v>
      </c>
      <c r="G85" s="36" t="n">
        <f aca="false">G80+G82+G83+G84</f>
        <v>6837.57812519622</v>
      </c>
    </row>
    <row r="86" customFormat="false" ht="15" hidden="false" customHeight="true" outlineLevel="0" collapsed="false">
      <c r="A86" s="13" t="s">
        <v>622</v>
      </c>
      <c r="C86" s="34" t="n">
        <f aca="false">MIN(C80-C81,C85)</f>
        <v>131651</v>
      </c>
      <c r="D86" s="34" t="n">
        <f aca="false">MIN(D80-D81,D85)</f>
        <v>135384.208288803</v>
      </c>
      <c r="E86" s="34" t="n">
        <f aca="false">MIN(E80-E81,E85)</f>
        <v>110964.984996023</v>
      </c>
      <c r="F86" s="34" t="n">
        <f aca="false">MIN(F80-F81,F85)</f>
        <v>67778.8645709231</v>
      </c>
      <c r="G86" s="34" t="n">
        <f aca="false">MIN(G80-G81,G85)</f>
        <v>6837.57812519622</v>
      </c>
    </row>
    <row r="87" customFormat="false" ht="15" hidden="false" customHeight="true" outlineLevel="0" collapsed="false">
      <c r="A87" s="13" t="s">
        <v>623</v>
      </c>
      <c r="C87" s="34" t="n">
        <f aca="false">C86-Inputs!$B$29</f>
        <v>126651</v>
      </c>
      <c r="D87" s="34" t="n">
        <f aca="false">D86-Inputs!$B$29</f>
        <v>130384.208288803</v>
      </c>
      <c r="E87" s="34" t="n">
        <f aca="false">E86-Inputs!$B$29</f>
        <v>105964.984996023</v>
      </c>
      <c r="F87" s="34" t="n">
        <f aca="false">F86-Inputs!$B$29</f>
        <v>62778.8645709231</v>
      </c>
      <c r="G87" s="34" t="n">
        <f aca="false">G86-Inputs!$B$29</f>
        <v>1837.57812519622</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140317.910525661</v>
      </c>
      <c r="D100" s="34" t="n">
        <f aca="false">D85+SUM($C97:D97)+SUM($C98:D98)-SUM($C99:D99)</f>
        <v>135384.208288803</v>
      </c>
      <c r="E100" s="34" t="n">
        <f aca="false">E85+SUM($C97:E97)+SUM($C98:E98)-SUM($C99:E99)</f>
        <v>110964.984996023</v>
      </c>
      <c r="F100" s="34" t="n">
        <f aca="false">F85+SUM($C97:F97)+SUM($C98:F98)-SUM($C99:F99)</f>
        <v>67778.8645709231</v>
      </c>
      <c r="G100" s="34" t="n">
        <f aca="false">G85+SUM($C97:G97)+SUM($C98:G98)-SUM($C99:G99)</f>
        <v>6837.57812519622</v>
      </c>
    </row>
    <row r="101" customFormat="false" ht="15" hidden="false" customHeight="true" outlineLevel="0" collapsed="false">
      <c r="A101" s="13" t="s">
        <v>637</v>
      </c>
      <c r="C101" s="34" t="n">
        <f aca="false">MIN(C80-C81+0+C97,C100)</f>
        <v>131651</v>
      </c>
      <c r="D101" s="34" t="n">
        <f aca="false">MIN(D80-D81+SUM($C97:C97)+SUM($C98:C98)-SUM($C99:C99)+D97,D100)</f>
        <v>135384.208288803</v>
      </c>
      <c r="E101" s="34" t="n">
        <f aca="false">MIN(E80-E81+SUM($C97:D97)+SUM($C98:D98)-SUM($C99:D99)+E97,E100)</f>
        <v>110964.984996023</v>
      </c>
      <c r="F101" s="34" t="n">
        <f aca="false">MIN(F80-F81+SUM($C97:E97)+SUM($C98:E98)-SUM($C99:E99)+F97,F100)</f>
        <v>67778.8645709231</v>
      </c>
      <c r="G101" s="34" t="n">
        <f aca="false">MIN(G80-G81+SUM($C97:F97)+SUM($C98:F98)-SUM($C99:F99)+G97,G100)</f>
        <v>6837.57812519622</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55204.104</v>
      </c>
      <c r="E105" s="34" t="n">
        <f aca="false">E5+E31</f>
        <v>56668.26</v>
      </c>
      <c r="F105" s="34" t="n">
        <f aca="false">F5+F31</f>
        <v>59108.52</v>
      </c>
      <c r="G105" s="34" t="n">
        <f aca="false">G5+G31</f>
        <v>61548.78</v>
      </c>
    </row>
    <row r="106" customFormat="false" ht="15" hidden="false" customHeight="true" outlineLevel="0" collapsed="false">
      <c r="A106" s="13" t="s">
        <v>558</v>
      </c>
      <c r="C106" s="34" t="n">
        <f aca="false">C17+C35</f>
        <v>1681.57633059282</v>
      </c>
      <c r="D106" s="34" t="n">
        <f aca="false">D17+D35</f>
        <v>-10762.6084</v>
      </c>
      <c r="E106" s="34" t="n">
        <f aca="false">E17+E35</f>
        <v>-28454.5645</v>
      </c>
      <c r="F106" s="34" t="n">
        <f aca="false">F17+F35</f>
        <v>-45092.59705</v>
      </c>
      <c r="G106" s="34" t="n">
        <f aca="false">G17+G35</f>
        <v>-60249.72606</v>
      </c>
    </row>
    <row r="107" customFormat="false" ht="15" hidden="false" customHeight="true" outlineLevel="0" collapsed="false">
      <c r="A107" s="13" t="s">
        <v>586</v>
      </c>
      <c r="C107" s="34" t="n">
        <f aca="false">C51+C37</f>
        <v>1626.84</v>
      </c>
      <c r="D107" s="34" t="n">
        <f aca="false">D51+D37</f>
        <v>2208.16416</v>
      </c>
      <c r="E107" s="34" t="n">
        <f aca="false">E51+E37</f>
        <v>2833.413</v>
      </c>
      <c r="F107" s="34" t="n">
        <f aca="false">F51+F37</f>
        <v>2955.426</v>
      </c>
      <c r="G107" s="34" t="n">
        <f aca="false">G51+G37</f>
        <v>3077.439</v>
      </c>
    </row>
    <row r="108" customFormat="false" ht="15" hidden="false" customHeight="true" outlineLevel="0" collapsed="false">
      <c r="A108" s="13" t="s">
        <v>587</v>
      </c>
      <c r="C108" s="33" t="n">
        <v>0</v>
      </c>
      <c r="D108" s="34" t="n">
        <f aca="false">SUMPRODUCT($D107:D107,--((4-COLUMN($D107:D107))&lt;Inputs!$B$32))/Inputs!$B$32</f>
        <v>441.632832</v>
      </c>
      <c r="E108" s="34" t="n">
        <f aca="false">SUMPRODUCT($D107:E107,--((5-COLUMN($D107:E107))&lt;Inputs!$B$32))/Inputs!$B$32</f>
        <v>1008.315432</v>
      </c>
      <c r="F108" s="34" t="n">
        <f aca="false">SUMPRODUCT($D107:F107,--((6-COLUMN($D107:F107))&lt;Inputs!$B$32))/Inputs!$B$32</f>
        <v>1599.400632</v>
      </c>
      <c r="G108" s="34" t="n">
        <f aca="false">SUMPRODUCT($D107:G107,--((7-COLUMN($D107:G107))&lt;Inputs!$B$32))/Inputs!$B$32</f>
        <v>2214.888432</v>
      </c>
    </row>
    <row r="109" customFormat="false" ht="15" hidden="false" customHeight="true" outlineLevel="0" collapsed="false">
      <c r="A109" s="10" t="s">
        <v>588</v>
      </c>
      <c r="C109" s="36" t="n">
        <f aca="false">C106-C108</f>
        <v>1681.57633059282</v>
      </c>
      <c r="D109" s="36" t="n">
        <f aca="false">D106-D108</f>
        <v>-11204.241232</v>
      </c>
      <c r="E109" s="36" t="n">
        <f aca="false">E106-E108</f>
        <v>-29462.879932</v>
      </c>
      <c r="F109" s="36" t="n">
        <f aca="false">F106-F108</f>
        <v>-46691.997682</v>
      </c>
      <c r="G109" s="36" t="n">
        <f aca="false">G106-G108</f>
        <v>-62464.614492</v>
      </c>
    </row>
    <row r="110" customFormat="false" ht="15" hidden="false" customHeight="true" outlineLevel="0" collapsed="false">
      <c r="A110" s="13" t="s">
        <v>589</v>
      </c>
      <c r="C110" s="16" t="n">
        <f aca="false">IFERROR(C109/C105,0)</f>
        <v>0.0310093739505942</v>
      </c>
      <c r="D110" s="16" t="n">
        <f aca="false">IFERROR(D109/D105,0)</f>
        <v>-0.202960294980967</v>
      </c>
      <c r="E110" s="16" t="n">
        <f aca="false">IFERROR(E109/E105,0)</f>
        <v>-0.519918556384121</v>
      </c>
      <c r="F110" s="16" t="n">
        <f aca="false">IFERROR(F109/F105,0)</f>
        <v>-0.789936842979658</v>
      </c>
      <c r="G110" s="16" t="n">
        <f aca="false">IFERROR(G109/G105,0)</f>
        <v>-1.01487981552193</v>
      </c>
    </row>
    <row r="111" customFormat="false" ht="15" hidden="false" customHeight="true" outlineLevel="0" collapsed="false">
      <c r="A111" s="13" t="s">
        <v>590</v>
      </c>
      <c r="C111" s="34" t="n">
        <f aca="false">Historicals!F43+C136*Inputs!$B$20/2</f>
        <v>2756.6375</v>
      </c>
      <c r="D111" s="34" t="n">
        <f aca="false">MAX(0,D136-D137)*Inputs!$B$20</f>
        <v>3507.94776314153</v>
      </c>
      <c r="E111" s="34" t="n">
        <f aca="false">MAX(0,E136-E137)*Inputs!$B$20</f>
        <v>3393.39014322006</v>
      </c>
      <c r="F111" s="34" t="n">
        <f aca="false">MAX(0,F136-F137)*Inputs!$B$20</f>
        <v>2804.48145930057</v>
      </c>
      <c r="G111" s="34" t="n">
        <f aca="false">MAX(0,G136-G137)*Inputs!$B$20</f>
        <v>1768.29191953308</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-7696.29346885848</v>
      </c>
      <c r="E114" s="34" t="n">
        <f aca="false">E109+E111+E112-E113</f>
        <v>-26069.48978878</v>
      </c>
      <c r="F114" s="34" t="n">
        <f aca="false">F109+F111+F112-F113</f>
        <v>-43887.5162226994</v>
      </c>
      <c r="G114" s="34" t="n">
        <f aca="false">G109+G111+G112-G113</f>
        <v>-60696.3225724669</v>
      </c>
    </row>
    <row r="115" customFormat="false" ht="15" hidden="false" customHeight="true" outlineLevel="0" collapsed="false">
      <c r="A115" s="13" t="s">
        <v>594</v>
      </c>
      <c r="C115" s="34" t="n">
        <f aca="false">C114*Inputs!$B$46</f>
        <v>3195.51395802683</v>
      </c>
      <c r="D115" s="34" t="n">
        <f aca="false">D114*Inputs!$B$46</f>
        <v>-5541.3312975781</v>
      </c>
      <c r="E115" s="34" t="n">
        <f aca="false">E114*Inputs!$B$46</f>
        <v>-18770.0326479216</v>
      </c>
      <c r="F115" s="34" t="n">
        <f aca="false">F114*Inputs!$B$46</f>
        <v>-31599.0116803436</v>
      </c>
      <c r="G115" s="34" t="n">
        <f aca="false">G114*Inputs!$B$46</f>
        <v>-43701.3522521762</v>
      </c>
    </row>
    <row r="116" customFormat="false" ht="15" hidden="false" customHeight="true" outlineLevel="0" collapsed="false">
      <c r="A116" s="13" t="s">
        <v>595</v>
      </c>
      <c r="C116" s="34" t="n">
        <f aca="false">Inputs!$B$48</f>
        <v>4200</v>
      </c>
      <c r="D116" s="34" t="n">
        <f aca="false">C118</f>
        <v>4200</v>
      </c>
      <c r="E116" s="34" t="n">
        <f aca="false">D118</f>
        <v>9741.3312975781</v>
      </c>
      <c r="F116" s="34" t="n">
        <f aca="false">E118</f>
        <v>28511.3639454997</v>
      </c>
      <c r="G116" s="34" t="n">
        <f aca="false">F118</f>
        <v>60110.3756258433</v>
      </c>
    </row>
    <row r="117" customFormat="false" ht="15" hidden="false" customHeight="true" outlineLevel="0" collapsed="false">
      <c r="A117" s="13" t="s">
        <v>596</v>
      </c>
      <c r="C117" s="34" t="n">
        <f aca="false">IF(AND(2026=2026,Inputs!$B$49=1),0,MIN(C116,MAX(0,C115)))</f>
        <v>0</v>
      </c>
      <c r="D117" s="34" t="n">
        <f aca="false">IF(AND(2027=2026,Inputs!$B$49=1),0,MIN(D116,MAX(0,D115)))</f>
        <v>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9741.3312975781</v>
      </c>
      <c r="E118" s="34" t="n">
        <f aca="false">E116-E117+MAX(0,-E115)</f>
        <v>28511.3639454997</v>
      </c>
      <c r="F118" s="34" t="n">
        <f aca="false">F116-F117+MAX(0,-F115)</f>
        <v>60110.3756258433</v>
      </c>
      <c r="G118" s="34" t="n">
        <f aca="false">G116-G117+MAX(0,-G115)</f>
        <v>103811.727878019</v>
      </c>
    </row>
    <row r="119" customFormat="false" ht="15" hidden="false" customHeight="true" outlineLevel="0" collapsed="false">
      <c r="A119" s="13" t="s">
        <v>598</v>
      </c>
      <c r="C119" s="34" t="n">
        <f aca="false">MAX(0,C115-C117)*Inputs!$B$47</f>
        <v>191.73083748161</v>
      </c>
      <c r="D119" s="34" t="n">
        <f aca="false">MAX(0,D115-D117)*Inputs!$B$47</f>
        <v>0</v>
      </c>
      <c r="E119" s="34" t="n">
        <f aca="false">MAX(0,E115-E117)*Inputs!$B$47</f>
        <v>0</v>
      </c>
      <c r="F119" s="34" t="n">
        <f aca="false">MAX(0,F115-F117)*Inputs!$B$47</f>
        <v>0</v>
      </c>
      <c r="G119" s="34" t="n">
        <f aca="false">MAX(0,G115-G117)*Inputs!$B$47</f>
        <v>0</v>
      </c>
    </row>
    <row r="120" customFormat="false" ht="15" hidden="false" customHeight="true" outlineLevel="0" collapsed="false">
      <c r="A120" s="13" t="s">
        <v>599</v>
      </c>
      <c r="C120" s="34" t="n">
        <f aca="false">C114-C119</f>
        <v>4246.48299311121</v>
      </c>
      <c r="D120" s="34" t="n">
        <f aca="false">D114-D119</f>
        <v>-7696.29346885848</v>
      </c>
      <c r="E120" s="34" t="n">
        <f aca="false">E114-E119</f>
        <v>-26069.48978878</v>
      </c>
      <c r="F120" s="34" t="n">
        <f aca="false">F114-F119</f>
        <v>-43887.5162226994</v>
      </c>
      <c r="G120" s="34" t="n">
        <f aca="false">G114-G119</f>
        <v>-60696.3225724669</v>
      </c>
    </row>
    <row r="121" customFormat="false" ht="15" hidden="false" customHeight="true" outlineLevel="0" collapsed="false">
      <c r="A121" s="13" t="s">
        <v>600</v>
      </c>
      <c r="C121" s="34" t="n">
        <f aca="false">Inputs!$B$44</f>
        <v>8200</v>
      </c>
      <c r="D121" s="34" t="n">
        <f aca="false">C123</f>
        <v>4802.81360551103</v>
      </c>
      <c r="E121" s="34" t="n">
        <f aca="false">D123</f>
        <v>12499.1070743695</v>
      </c>
      <c r="F121" s="34" t="n">
        <f aca="false">E123</f>
        <v>38568.5968631495</v>
      </c>
      <c r="G121" s="34" t="n">
        <f aca="false">F123</f>
        <v>82456.1130858489</v>
      </c>
    </row>
    <row r="122" customFormat="false" ht="15" hidden="false" customHeight="true" outlineLevel="0" collapsed="false">
      <c r="A122" s="13" t="s">
        <v>601</v>
      </c>
      <c r="C122" s="34" t="n">
        <f aca="false">MIN(C121,Inputs!$B$45*MAX(0,C120))</f>
        <v>3397.18639448897</v>
      </c>
      <c r="D122" s="34" t="n">
        <f aca="false">MIN(D121,Inputs!$B$45*MAX(0,D120))</f>
        <v>0</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12499.1070743695</v>
      </c>
      <c r="E123" s="34" t="n">
        <f aca="false">E121-E122+MAX(0,-E120)</f>
        <v>38568.5968631495</v>
      </c>
      <c r="F123" s="34" t="n">
        <f aca="false">F121-F122+MAX(0,-F120)</f>
        <v>82456.1130858489</v>
      </c>
      <c r="G123" s="34" t="n">
        <f aca="false">G121-G122+MAX(0,-G120)</f>
        <v>143152.435658316</v>
      </c>
    </row>
    <row r="124" customFormat="false" ht="15" hidden="false" customHeight="true" outlineLevel="0" collapsed="false">
      <c r="A124" s="13" t="s">
        <v>603</v>
      </c>
      <c r="C124" s="34" t="n">
        <f aca="false">MAX(0,C120-C122)*Inputs!$B$43</f>
        <v>178.352285710671</v>
      </c>
      <c r="D124" s="34" t="n">
        <f aca="false">MAX(0,D120-D122)*Inputs!$B$43</f>
        <v>0</v>
      </c>
      <c r="E124" s="34" t="n">
        <f aca="false">MAX(0,E120-E122)*Inputs!$B$43</f>
        <v>0</v>
      </c>
      <c r="F124" s="34" t="n">
        <f aca="false">MAX(0,F120-F122)*Inputs!$B$43</f>
        <v>0</v>
      </c>
      <c r="G124" s="34" t="n">
        <f aca="false">MAX(0,G120-G122)*Inputs!$B$43</f>
        <v>0</v>
      </c>
    </row>
    <row r="125" customFormat="false" ht="15" hidden="false" customHeight="true" outlineLevel="0" collapsed="false">
      <c r="A125" s="10" t="s">
        <v>604</v>
      </c>
      <c r="C125" s="36" t="n">
        <f aca="false">IF(Inputs!$G$90=0,MAX(0,C109+C111)*Inputs!B$54,IF(Inputs!$G$90=2,MAX(0,C114)*Inputs!$G$91,C119+C124))</f>
        <v>370.083123192281</v>
      </c>
      <c r="D125" s="36" t="n">
        <f aca="false">IF(Inputs!$G$90=0,MAX(0,D109+D111)*Inputs!C$54,IF(Inputs!$G$90=2,MAX(0,D114)*Inputs!$G$91,D119+D124))</f>
        <v>0</v>
      </c>
      <c r="E125" s="36" t="n">
        <f aca="false">IF(Inputs!$G$90=0,MAX(0,E109+E111)*Inputs!D$54,IF(Inputs!$G$90=2,MAX(0,E114)*Inputs!$G$91,E119+E124))</f>
        <v>0</v>
      </c>
      <c r="F125" s="36" t="n">
        <f aca="false">IF(Inputs!$G$90=0,MAX(0,F109+F111)*Inputs!E$54,IF(Inputs!$G$90=2,MAX(0,F114)*Inputs!$G$91,F119+F124))</f>
        <v>0</v>
      </c>
      <c r="G125" s="36" t="n">
        <f aca="false">IF(Inputs!$G$90=0,MAX(0,G109+G111)*Inputs!F$54,IF(Inputs!$G$90=2,MAX(0,G114)*Inputs!$G$91,G119+G124))</f>
        <v>0</v>
      </c>
    </row>
    <row r="126" customFormat="false" ht="15" hidden="false" customHeight="true" outlineLevel="0" collapsed="false">
      <c r="A126" s="13" t="s">
        <v>605</v>
      </c>
      <c r="C126" s="16" t="n">
        <f aca="false">IF(C114&gt;0,MIN(1,C125/C114),0)</f>
        <v>0.0833856</v>
      </c>
      <c r="D126" s="16" t="n">
        <f aca="false">IF(D114&gt;0,MIN(1,D125/D114),0)</f>
        <v>0</v>
      </c>
      <c r="E126" s="16" t="n">
        <f aca="false">IF(E114&gt;0,MIN(1,E125/E114),0)</f>
        <v>0</v>
      </c>
      <c r="F126" s="16" t="n">
        <f aca="false">IF(F114&gt;0,MIN(1,F125/F114),0)</f>
        <v>0</v>
      </c>
      <c r="G126" s="16" t="n">
        <f aca="false">IF(G114&gt;0,MIN(1,G125/G114),0)</f>
        <v>0</v>
      </c>
    </row>
    <row r="127" customFormat="false" ht="15" hidden="false" customHeight="true" outlineLevel="0" collapsed="false">
      <c r="A127" s="13" t="s">
        <v>606</v>
      </c>
      <c r="C127" s="34" t="n">
        <f aca="false">C109+C111-C125</f>
        <v>4068.13070740054</v>
      </c>
      <c r="D127" s="34" t="n">
        <f aca="false">D109+D111-D125</f>
        <v>-7696.29346885848</v>
      </c>
      <c r="E127" s="34" t="n">
        <f aca="false">E109+E111-E125</f>
        <v>-26069.48978878</v>
      </c>
      <c r="F127" s="34" t="n">
        <f aca="false">F109+F111-F125</f>
        <v>-43887.5162226994</v>
      </c>
      <c r="G127" s="34" t="n">
        <f aca="false">G109+G111-G125</f>
        <v>-60696.3225724669</v>
      </c>
    </row>
    <row r="128" customFormat="false" ht="15" hidden="false" customHeight="true" outlineLevel="0" collapsed="false">
      <c r="A128" s="13" t="s">
        <v>607</v>
      </c>
      <c r="C128" s="34" t="n">
        <f aca="false">C12+C20</f>
        <v>8451.61981826049</v>
      </c>
      <c r="D128" s="34" t="n">
        <f aca="false">D12+D20</f>
        <v>4880.52</v>
      </c>
      <c r="E128" s="34" t="n">
        <f aca="false">E12+E20</f>
        <v>4338.24</v>
      </c>
      <c r="F128" s="34" t="n">
        <f aca="false">F12+F20</f>
        <v>3795.96</v>
      </c>
      <c r="G128" s="34" t="n">
        <f aca="false">G12+G20</f>
        <v>3253.68</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10892.910525661</v>
      </c>
      <c r="D131" s="36" t="n">
        <f aca="false">D109+D128+D108+D111-D125-D107+D129+D130</f>
        <v>-4582.30479685848</v>
      </c>
      <c r="E131" s="36" t="n">
        <f aca="false">E109+E128+E108+E111-E125-E107+E129+E130</f>
        <v>-23556.34735678</v>
      </c>
      <c r="F131" s="36" t="n">
        <f aca="false">F109+F128+F108+F111-F125-F107+F129+F130</f>
        <v>-41447.5815906994</v>
      </c>
      <c r="G131" s="36" t="n">
        <f aca="false">G109+G128+G108+G111-G125-G107+G129+G130</f>
        <v>-58305.1931404669</v>
      </c>
    </row>
    <row r="132" customFormat="false" ht="15" hidden="false" customHeight="true" outlineLevel="0" collapsed="false">
      <c r="A132" s="10" t="s">
        <v>611</v>
      </c>
      <c r="C132" s="36" t="n">
        <f aca="false">C109+C108-(C125-C111*C126)-C107+C129+C130</f>
        <v>-85.4829206794611</v>
      </c>
      <c r="D132" s="36" t="n">
        <f aca="false">D109+D108-(D125-D111*D126)-D107+D129+D130</f>
        <v>-12970.77256</v>
      </c>
      <c r="E132" s="36" t="n">
        <f aca="false">E109+E108-(E125-E111*E126)-E107+E129+E130</f>
        <v>-31287.9775</v>
      </c>
      <c r="F132" s="36" t="n">
        <f aca="false">F109+F108-(F125-F111*F126)-F107+F129+F130</f>
        <v>-48048.02305</v>
      </c>
      <c r="G132" s="36" t="n">
        <f aca="false">G109+G108-(G125-G111*G126)-G107+G129+G130</f>
        <v>-63327.16506</v>
      </c>
    </row>
    <row r="133" customFormat="false" ht="15" hidden="false" customHeight="true" outlineLevel="0" collapsed="false">
      <c r="A133" s="13" t="s">
        <v>612</v>
      </c>
      <c r="C133" s="16" t="n">
        <f aca="false">IFERROR(C132/C105,0)</f>
        <v>-0.00157636130190052</v>
      </c>
      <c r="D133" s="16" t="n">
        <f aca="false">IFERROR(D132/D105,0)</f>
        <v>-0.234960294980967</v>
      </c>
      <c r="E133" s="16" t="n">
        <f aca="false">IFERROR(E132/E105,0)</f>
        <v>-0.552125254948714</v>
      </c>
      <c r="F133" s="16" t="n">
        <f aca="false">IFERROR(F132/F105,0)</f>
        <v>-0.812878127383328</v>
      </c>
      <c r="G133" s="16" t="n">
        <f aca="false">IFERROR(G132/G105,0)</f>
        <v>-1.02889391243823</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140317.910525661</v>
      </c>
      <c r="E136" s="34" t="n">
        <f aca="false">D141</f>
        <v>135735.605728803</v>
      </c>
      <c r="F136" s="34" t="n">
        <f aca="false">E141</f>
        <v>112179.258372023</v>
      </c>
      <c r="G136" s="34" t="n">
        <f aca="false">F141</f>
        <v>70731.6767813232</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8666.91052566103</v>
      </c>
      <c r="D138" s="34" t="n">
        <f aca="false">D131</f>
        <v>-4582.30479685848</v>
      </c>
      <c r="E138" s="34" t="n">
        <f aca="false">E131</f>
        <v>-23556.34735678</v>
      </c>
      <c r="F138" s="34" t="n">
        <f aca="false">F131</f>
        <v>-41447.5815906994</v>
      </c>
      <c r="G138" s="34" t="n">
        <f aca="false">G131</f>
        <v>-58305.1931404669</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140317.910525661</v>
      </c>
      <c r="D141" s="36" t="n">
        <f aca="false">D136+D138+D139+D140</f>
        <v>135735.605728803</v>
      </c>
      <c r="E141" s="36" t="n">
        <f aca="false">E136+E138+E139+E140</f>
        <v>112179.258372023</v>
      </c>
      <c r="F141" s="36" t="n">
        <f aca="false">F136+F138+F139+F140</f>
        <v>70731.6767813232</v>
      </c>
      <c r="G141" s="36" t="n">
        <f aca="false">G136+G138+G139+G140</f>
        <v>12426.4836408562</v>
      </c>
    </row>
    <row r="142" customFormat="false" ht="15" hidden="false" customHeight="true" outlineLevel="0" collapsed="false">
      <c r="A142" s="13" t="s">
        <v>622</v>
      </c>
      <c r="C142" s="34" t="n">
        <f aca="false">MIN(C136-C137,C141)</f>
        <v>131651</v>
      </c>
      <c r="D142" s="34" t="n">
        <f aca="false">MIN(D136-D137,D141)</f>
        <v>135735.605728803</v>
      </c>
      <c r="E142" s="34" t="n">
        <f aca="false">MIN(E136-E137,E141)</f>
        <v>112179.258372023</v>
      </c>
      <c r="F142" s="34" t="n">
        <f aca="false">MIN(F136-F137,F141)</f>
        <v>70731.6767813232</v>
      </c>
      <c r="G142" s="34" t="n">
        <f aca="false">MIN(G136-G137,G141)</f>
        <v>12426.4836408562</v>
      </c>
    </row>
    <row r="143" customFormat="false" ht="15" hidden="false" customHeight="true" outlineLevel="0" collapsed="false">
      <c r="A143" s="13" t="s">
        <v>623</v>
      </c>
      <c r="C143" s="34" t="n">
        <f aca="false">C142-Inputs!$B$29</f>
        <v>126651</v>
      </c>
      <c r="D143" s="34" t="n">
        <f aca="false">D142-Inputs!$B$29</f>
        <v>130735.605728803</v>
      </c>
      <c r="E143" s="34" t="n">
        <f aca="false">E142-Inputs!$B$29</f>
        <v>107179.258372023</v>
      </c>
      <c r="F143" s="34" t="n">
        <f aca="false">F142-Inputs!$B$29</f>
        <v>65731.6767813232</v>
      </c>
      <c r="G143" s="34" t="n">
        <f aca="false">G142-Inputs!$B$29</f>
        <v>7426.48364085624</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140317.910525661</v>
      </c>
      <c r="D156" s="34" t="n">
        <f aca="false">D141+SUM($C153:D153)+SUM($C154:D154)-SUM($C155:D155)</f>
        <v>135735.605728803</v>
      </c>
      <c r="E156" s="34" t="n">
        <f aca="false">E141+SUM($C153:E153)+SUM($C154:E154)-SUM($C155:E155)</f>
        <v>112179.258372023</v>
      </c>
      <c r="F156" s="34" t="n">
        <f aca="false">F141+SUM($C153:F153)+SUM($C154:F154)-SUM($C155:F155)</f>
        <v>70731.6767813232</v>
      </c>
      <c r="G156" s="34" t="n">
        <f aca="false">G141+SUM($C153:G153)+SUM($C154:G154)-SUM($C155:G155)</f>
        <v>12426.4836408562</v>
      </c>
    </row>
    <row r="157" customFormat="false" ht="15" hidden="false" customHeight="true" outlineLevel="0" collapsed="false">
      <c r="A157" s="13" t="s">
        <v>637</v>
      </c>
      <c r="C157" s="34" t="n">
        <f aca="false">MIN(C136-C137+0+C153,C156)</f>
        <v>131651</v>
      </c>
      <c r="D157" s="34" t="n">
        <f aca="false">MIN(D136-D137+SUM($C153:C153)+SUM($C154:C154)-SUM($C155:C155)+D153,D156)</f>
        <v>135735.605728803</v>
      </c>
      <c r="E157" s="34" t="n">
        <f aca="false">MIN(E136-E137+SUM($C153:D153)+SUM($C154:D154)-SUM($C155:D155)+E153,E156)</f>
        <v>112179.258372023</v>
      </c>
      <c r="F157" s="34" t="n">
        <f aca="false">MIN(F136-F137+SUM($C153:E153)+SUM($C154:E154)-SUM($C155:E155)+F153,F156)</f>
        <v>70731.6767813232</v>
      </c>
      <c r="G157" s="34" t="n">
        <f aca="false">MIN(G136-G137+SUM($C153:F153)+SUM($C154:F154)-SUM($C155:F155)+G153,G156)</f>
        <v>12426.4836408562</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Inputs!$B$19+Inputs!$G$89</f>
        <v>0.12</v>
      </c>
      <c r="G162" s="16" t="n">
        <f aca="false">Inputs!$B$19+Inputs!$G$89</f>
        <v>0.12</v>
      </c>
    </row>
    <row r="163" customFormat="false" ht="15" hidden="false" customHeight="true" outlineLevel="0" collapsed="false">
      <c r="A163" s="13" t="s">
        <v>642</v>
      </c>
      <c r="F163" s="34" t="n">
        <f aca="false">G53*(1-G70)</f>
        <v>-65238.70206</v>
      </c>
      <c r="G163" s="34" t="n">
        <f aca="false">G109*(1-G126)</f>
        <v>-62464.614492</v>
      </c>
    </row>
    <row r="164" customFormat="false" ht="15" hidden="false" customHeight="true" outlineLevel="0" collapsed="false">
      <c r="A164" s="13" t="s">
        <v>643</v>
      </c>
      <c r="F164" s="53" t="n">
        <f aca="false">Inputs!$G$87</f>
        <v>30</v>
      </c>
      <c r="G164" s="53" t="n">
        <f aca="false">Inputs!$G$87</f>
        <v>30</v>
      </c>
    </row>
    <row r="165" customFormat="false" ht="15" hidden="false" customHeight="true" outlineLevel="0" collapsed="false">
      <c r="A165" s="13" t="s">
        <v>644</v>
      </c>
      <c r="F165" s="34" t="n">
        <f aca="false">F163*F164</f>
        <v>-1957161.0618</v>
      </c>
      <c r="G165" s="34" t="n">
        <f aca="false">G163*G164</f>
        <v>-1873938.43476</v>
      </c>
    </row>
    <row r="166" customFormat="false" ht="15" hidden="false" customHeight="true" outlineLevel="0" collapsed="false">
      <c r="A166" s="13" t="s">
        <v>645</v>
      </c>
      <c r="F166" s="34" t="n">
        <f aca="false">F165*$G$21</f>
        <v>-1243811.23712389</v>
      </c>
      <c r="G166" s="34" t="n">
        <f aca="false">G165*$G$21</f>
        <v>-1190921.75310763</v>
      </c>
    </row>
    <row r="167" customFormat="false" ht="15" hidden="false" customHeight="true" outlineLevel="0" collapsed="false">
      <c r="A167" s="13" t="s">
        <v>646</v>
      </c>
      <c r="F167" s="34" t="n">
        <f aca="false">SUMPRODUCT(D76:G76,$D$21:$G$21)-F162*SUMPRODUCT(D81:G81,$D$21:$G$21)</f>
        <v>-114807.667886692</v>
      </c>
      <c r="G167" s="34" t="n">
        <f aca="false">SUMPRODUCT(D132:G132,$D$21:$G$21)-G162*SUMPRODUCT(D137:G137,$D$21:$G$21)</f>
        <v>-110968.823035756</v>
      </c>
    </row>
    <row r="168" customFormat="false" ht="15" hidden="false" customHeight="true" outlineLevel="0" collapsed="false">
      <c r="A168" s="13" t="s">
        <v>647</v>
      </c>
      <c r="F168" s="34" t="n">
        <f aca="false">F166+F167</f>
        <v>-1358618.90501059</v>
      </c>
      <c r="G168" s="34" t="n">
        <f aca="false">G166+G167</f>
        <v>-1301890.57614339</v>
      </c>
    </row>
    <row r="169" customFormat="false" ht="15" hidden="false" customHeight="true" outlineLevel="0" collapsed="false">
      <c r="A169" s="13" t="s">
        <v>648</v>
      </c>
      <c r="F169" s="34" t="n">
        <f aca="false">(G76-G74)*Inputs!$G$88*$G$21</f>
        <v>-1172470.01376583</v>
      </c>
      <c r="G169" s="34" t="n">
        <f aca="false">(G132-G130)*Inputs!$G$88*$G$21</f>
        <v>-1126875.63099319</v>
      </c>
    </row>
    <row r="170" customFormat="false" ht="15" hidden="false" customHeight="true" outlineLevel="0" collapsed="false">
      <c r="A170" s="13" t="s">
        <v>649</v>
      </c>
      <c r="F170" s="34" t="n">
        <f aca="false">F167+F169</f>
        <v>-1287277.68165252</v>
      </c>
      <c r="G170" s="34" t="n">
        <f aca="false">G167+G169</f>
        <v>-1237844.45402895</v>
      </c>
    </row>
    <row r="171" customFormat="false" ht="15" hidden="false" customHeight="true" outlineLevel="0" collapsed="false">
      <c r="A171" s="13" t="s">
        <v>650</v>
      </c>
      <c r="F171" s="34" t="n">
        <f aca="false">F168*Inputs!$B$21+F170*(1-Inputs!$B$21)</f>
        <v>-1322948.29333155</v>
      </c>
      <c r="G171" s="34" t="n">
        <f aca="false">G168*Inputs!$B$21+G170*(1-Inputs!$B$21)</f>
        <v>-1269867.51508617</v>
      </c>
    </row>
    <row r="172" customFormat="false" ht="15" hidden="false" customHeight="true" outlineLevel="0" collapsed="false">
      <c r="A172" s="13" t="s">
        <v>651</v>
      </c>
      <c r="F172" s="16" t="n">
        <f aca="false">IFERROR(F166/F168,0)</f>
        <v>0.915496783194109</v>
      </c>
      <c r="G172" s="16" t="n">
        <f aca="false">IFERROR(G166/G168,0)</f>
        <v>0.914763325682501</v>
      </c>
    </row>
    <row r="173" customFormat="false" ht="15" hidden="false" customHeight="true" outlineLevel="0" collapsed="false">
      <c r="A173" s="13" t="s">
        <v>652</v>
      </c>
      <c r="F173" s="16" t="n">
        <f aca="false">IFERROR(F169/F170,0)</f>
        <v>0.910813595603313</v>
      </c>
      <c r="G173" s="16" t="n">
        <f aca="false">IFERROR(G169/G170,0)</f>
        <v>0.910353176706028</v>
      </c>
    </row>
    <row r="174" customFormat="false" ht="15" hidden="false" customHeight="true" outlineLevel="0" collapsed="false">
      <c r="A174" s="13" t="s">
        <v>653</v>
      </c>
      <c r="F174" s="34" t="n">
        <f aca="false">C85</f>
        <v>140317.910525661</v>
      </c>
      <c r="G174" s="34" t="n">
        <f aca="false">C141</f>
        <v>140317.910525661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-1182630.38280589</v>
      </c>
      <c r="G176" s="35" t="n">
        <f aca="false">G171+G174+G175</f>
        <v>-1129549.60456051</v>
      </c>
    </row>
    <row r="177" customFormat="false" ht="15" hidden="false" customHeight="true" outlineLevel="0" collapsed="false">
      <c r="A177" s="13" t="s">
        <v>656</v>
      </c>
      <c r="F177" s="34" t="str">
        <f aca="false">IF(F182="OK",F176,"unresolved")</f>
        <v>unresolved</v>
      </c>
      <c r="G177" s="34" t="str">
        <f aca="false">IF(G182="OK",G176,"unresolved")</f>
        <v>unresolved</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str">
        <f aca="false">IF(F182="OK",F176/F178,"n/a")</f>
        <v>n/a</v>
      </c>
      <c r="G179" s="25" t="str">
        <f aca="false">IF(G182="OK",G176/G178,"n/a")</f>
        <v>n/a</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n">
        <f aca="false">IF(G75&lt;0,MAX(0,G85)/-G75,"cash-positive")</f>
        <v>0.112199438574137</v>
      </c>
      <c r="G181" s="57" t="n">
        <f aca="false">IF(G131&lt;0,MAX(0,G141)/-G131,"cash-positive")</f>
        <v>0.213128247614561</v>
      </c>
    </row>
    <row r="182" customFormat="false" ht="15" hidden="false" customHeight="true" outlineLevel="0" collapsed="false">
      <c r="A182" s="13" t="s">
        <v>661</v>
      </c>
      <c r="F182" s="55" t="str">
        <f aca="false">IF(OR(F163&lt;=0,G76-G74&lt;=0),"Not meaningful: 2030 earnings or cash flow negative",IF(F176&lt;=0,"Not meaningful: equity value at or below zero","OK"))</f>
        <v>Not meaningful: 2030 earnings or cash flow negative</v>
      </c>
      <c r="G182" s="55" t="str">
        <f aca="false">IF(OR(G163&lt;=0,G132-G130&lt;=0),"Not meaningful: 2030 earnings or cash flow negative",IF(G176&lt;=0,"Not meaningful: equity value at or below zero","OK"))</f>
        <v>Not meaningful: 2030 earnings or cash flow negative</v>
      </c>
    </row>
    <row r="183" customFormat="false" ht="15" hidden="false" customHeight="true" outlineLevel="0" collapsed="false">
      <c r="A183" s="10" t="s">
        <v>662</v>
      </c>
      <c r="F183" s="29" t="str">
        <f aca="false">IF(F182&lt;&gt;"OK",F182,IF(F180&gt;0,"Raise needed by 2030",IF(ISNUMBER(F181),"Cash-negative in 2030; runway "&amp;TEXT(F181,"0.0")&amp;" yrs","No raise needed")))</f>
        <v>Not meaningful: 2030 earnings or cash flow negative</v>
      </c>
      <c r="G183" s="29" t="str">
        <f aca="false">IF(G182&lt;&gt;"OK",G182,IF(G180&gt;0,"Raise needed by 2030",IF(ISNUMBER(G181),"Cash-negative in 2030; runway "&amp;TEXT(G181,"0.0")&amp;" yrs","No raise needed")))</f>
        <v>Not meaningful: 2030 earnings or cash flow negative</v>
      </c>
    </row>
    <row r="184" customFormat="false" ht="15" hidden="false" customHeight="true" outlineLevel="0" collapsed="false">
      <c r="A184" s="13" t="s">
        <v>663</v>
      </c>
      <c r="F184" s="25" t="str">
        <f aca="false">IF(NOT(ISNUMBER(F179)),"unresolved",IF(F180=0,F179,(F176+F180/(1+F162)^IF(ISNUMBER(G93),MAX(0,G93-2027),0))/(F178+(F180/(1-Inputs!$B$31))/(F179*(1+F162)^IF(ISNUMBER(G93),MAX(0,G93-2027),0)*(1-0)))))</f>
        <v>unresolved</v>
      </c>
      <c r="G184" s="25" t="str">
        <f aca="false">IF(NOT(ISNUMBER(G179)),"unresolved",IF(G180=0,G179,(G176+G180/(1+G162)^IF(ISNUMBER(G149),MAX(0,G149-2027),0))/(G178+(G180/(1-Inputs!$B$31))/(G179*(1+G162)^IF(ISNUMBER(G149),MAX(0,G149-2027),0)*(1-0)))))</f>
        <v>unresolved</v>
      </c>
    </row>
    <row r="185" customFormat="false" ht="15" hidden="false" customHeight="true" outlineLevel="0" collapsed="false">
      <c r="A185" s="13" t="s">
        <v>664</v>
      </c>
      <c r="F185" s="25" t="str">
        <f aca="false">IF(NOT(ISNUMBER(F179)),"unresolved",IF(F180=0,F179,(F176+F180/(1+F162)^IF(ISNUMBER(G93),MAX(0,G93-2027),0))/(F178+(F180/(1-Inputs!$B$31))/(F179*(1+F162)^IF(ISNUMBER(G93),MAX(0,G93-2027),0)*(1-Inputs!$B$30)))))</f>
        <v>unresolved</v>
      </c>
      <c r="G185" s="25" t="str">
        <f aca="false">IF(NOT(ISNUMBER(G179)),"unresolved",IF(G180=0,G179,(G176+G180/(1+G162)^IF(ISNUMBER(G149),MAX(0,G149-2027),0))/(G178+(G180/(1-Inputs!$B$31))/(G179*(1+G162)^IF(ISNUMBER(G149),MAX(0,G149-2027),0)*(1-Inputs!$B$30)))))</f>
        <v>unresolved</v>
      </c>
    </row>
    <row r="186" customFormat="false" ht="15" hidden="false" customHeight="true" outlineLevel="0" collapsed="false">
      <c r="A186" s="13" t="s">
        <v>665</v>
      </c>
      <c r="F186" s="25" t="str">
        <f aca="false">IF(NOT(ISNUMBER(F179)),"unresolved",IF(F180=0,F179,(F176+F180/(1+F162)^IF(ISNUMBER(G93),MAX(0,G93-2027),0))/(F178+(F180/(1-Inputs!$B$31))/(F179*(1+F162)^IF(ISNUMBER(G93),MAX(0,G93-2027),0)*(1-0.3)))))</f>
        <v>unresolved</v>
      </c>
      <c r="G186" s="25" t="str">
        <f aca="false">IF(NOT(ISNUMBER(G179)),"unresolved",IF(G180=0,G179,(G176+G180/(1+G162)^IF(ISNUMBER(G149),MAX(0,G149-2027),0))/(G178+(G180/(1-Inputs!$B$31))/(G179*(1+G162)^IF(ISNUMBER(G149),MAX(0,G149-2027),0)*(1-0.3)))))</f>
        <v>unresolved</v>
      </c>
    </row>
    <row r="187" customFormat="false" ht="15" hidden="false" customHeight="true" outlineLevel="0" collapsed="false">
      <c r="A187" s="13" t="s">
        <v>666</v>
      </c>
      <c r="F187" s="25" t="str">
        <f aca="false">F185</f>
        <v>unresolved</v>
      </c>
      <c r="G187" s="25" t="str">
        <f aca="false">G185</f>
        <v>unresolved</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str">
        <f aca="false">IF(ISNUMBER(F187),F187/(1+Inputs!$B$25)^F188,"unresolved")</f>
        <v>unresolved</v>
      </c>
      <c r="G189" s="12" t="str">
        <f aca="false">IF(ISNUMBER(G187),G187/(1+Inputs!$B$25)^G188,"unresolved")</f>
        <v>unresolved</v>
      </c>
    </row>
    <row r="190" customFormat="false" ht="15" hidden="false" customHeight="true" outlineLevel="0" collapsed="false">
      <c r="A190" s="13" t="s">
        <v>669</v>
      </c>
      <c r="F190" s="25" t="str">
        <f aca="false">IF(F180=0,F189,"unresolved")</f>
        <v>unresolved</v>
      </c>
      <c r="G190" s="25" t="str">
        <f aca="false">IF(G180=0,G189,"unresolved")</f>
        <v>unresolved</v>
      </c>
    </row>
    <row r="191" customFormat="false" ht="15" hidden="false" customHeight="true" outlineLevel="0" collapsed="false">
      <c r="A191" s="13" t="s">
        <v>670</v>
      </c>
      <c r="F191" s="34" t="str">
        <f aca="false">IF(ISNUMBER(F179),F176+F180/(1+F162)^IF(ISNUMBER(G93),MAX(0,G93-2027),0),"unresolved")</f>
        <v>unresolved</v>
      </c>
      <c r="G191" s="34" t="str">
        <f aca="false">IF(ISNUMBER(G179),G176+G180/(1+G162)^IF(ISNUMBER(G149),MAX(0,G149-2027),0),"unresolved")</f>
        <v>unresolved</v>
      </c>
    </row>
    <row r="192" customFormat="false" ht="15" hidden="false" customHeight="true" outlineLevel="0" collapsed="false">
      <c r="A192" s="13" t="s">
        <v>671</v>
      </c>
      <c r="F192" s="28" t="str">
        <f aca="false">IFERROR(F191/D49,"n/a")</f>
        <v>n/a</v>
      </c>
      <c r="G192" s="28" t="str">
        <f aca="false">IFERROR(G191/D105,"n/a")</f>
        <v>n/a</v>
      </c>
    </row>
    <row r="193" customFormat="false" ht="15" hidden="false" customHeight="true" outlineLevel="0" collapsed="false">
      <c r="A193" s="13" t="s">
        <v>672</v>
      </c>
      <c r="F193" s="25" t="n">
        <f aca="false">(F168+F174)/F178</f>
        <v>-68.0513947981307</v>
      </c>
      <c r="G193" s="25" t="n">
        <f aca="false">(G168+G174)/G178</f>
        <v>-64.8826853236612</v>
      </c>
    </row>
    <row r="194" customFormat="false" ht="15" hidden="false" customHeight="true" outlineLevel="0" collapsed="false">
      <c r="A194" s="13" t="s">
        <v>673</v>
      </c>
      <c r="F194" s="25" t="n">
        <f aca="false">(F170+F174)/F178</f>
        <v>-64.0664438064639</v>
      </c>
      <c r="G194" s="25" t="n">
        <f aca="false">(G170+G174)/G178</f>
        <v>-61.305221329928</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681</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Historicals!F35+(Inputs!$B$5+Inputs!$H$60)</f>
        <v>54228</v>
      </c>
      <c r="D5" s="34" t="n">
        <f aca="false">C5*(1+Inputs!$H$62)</f>
        <v>108456</v>
      </c>
      <c r="E5" s="34" t="n">
        <f aca="false">D5*(1+Inputs!$H$63)</f>
        <v>168106.8</v>
      </c>
      <c r="F5" s="34" t="n">
        <f aca="false">E5*(1+Inputs!$H$64)</f>
        <v>226944.18</v>
      </c>
      <c r="G5" s="34" t="n">
        <f aca="false">F5*(1+Inputs!$H$65)</f>
        <v>283680.225</v>
      </c>
    </row>
    <row r="6" customFormat="false" ht="15" hidden="false" customHeight="true" outlineLevel="0" collapsed="false">
      <c r="A6" s="13" t="s">
        <v>551</v>
      </c>
      <c r="C6" s="16" t="n">
        <f aca="false">IFERROR(C5/B5-1,0)</f>
        <v>10.8272628135224</v>
      </c>
      <c r="D6" s="16" t="n">
        <f aca="false">IFERROR(D5/C5-1,0)</f>
        <v>1</v>
      </c>
      <c r="E6" s="16" t="n">
        <f aca="false">IFERROR(E5/D5-1,0)</f>
        <v>0.55</v>
      </c>
      <c r="F6" s="16" t="n">
        <f aca="false">IFERROR(F5/E5-1,0)</f>
        <v>0.35</v>
      </c>
      <c r="G6" s="16" t="n">
        <f aca="false">IFERROR(G5/F5-1,0)</f>
        <v>0.25</v>
      </c>
    </row>
    <row r="7" customFormat="false" ht="15" hidden="false" customHeight="true" outlineLevel="0" collapsed="false">
      <c r="A7" s="13" t="s">
        <v>552</v>
      </c>
      <c r="B7" s="41" t="n">
        <f aca="false">Historicals!D51</f>
        <v>789</v>
      </c>
      <c r="C7" s="34" t="n">
        <f aca="false">Historicals!F51+(Inputs!$B$5+Inputs!$H$60)*Historicals!F51/Historicals!F35</f>
        <v>10728.3934667813</v>
      </c>
      <c r="D7" s="34" t="n">
        <f aca="false">D5*Inputs!$H$61</f>
        <v>21691.2</v>
      </c>
      <c r="E7" s="34" t="n">
        <f aca="false">E5*Inputs!$H$61</f>
        <v>33621.36</v>
      </c>
      <c r="F7" s="34" t="n">
        <f aca="false">F5*Inputs!$H$61</f>
        <v>45388.836</v>
      </c>
      <c r="G7" s="34" t="n">
        <f aca="false">G5*Inputs!$H$61</f>
        <v>56736.045</v>
      </c>
    </row>
    <row r="8" customFormat="false" ht="15" hidden="false" customHeight="true" outlineLevel="0" collapsed="false">
      <c r="A8" s="13" t="s">
        <v>553</v>
      </c>
      <c r="B8" s="34" t="n">
        <f aca="false">B5-B7</f>
        <v>3796</v>
      </c>
      <c r="C8" s="34" t="n">
        <f aca="false">C5-C7</f>
        <v>43499.6065332187</v>
      </c>
      <c r="D8" s="34" t="n">
        <f aca="false">D5-D7</f>
        <v>86764.8</v>
      </c>
      <c r="E8" s="34" t="n">
        <f aca="false">E5-E7</f>
        <v>134485.44</v>
      </c>
      <c r="F8" s="34" t="n">
        <f aca="false">F5-F7</f>
        <v>181555.344</v>
      </c>
      <c r="G8" s="34" t="n">
        <f aca="false">G5-G7</f>
        <v>226944.18</v>
      </c>
    </row>
    <row r="10" customFormat="false" ht="15" hidden="false" customHeight="true" outlineLevel="0" collapsed="false">
      <c r="A10" s="13" t="s">
        <v>250</v>
      </c>
      <c r="B10" s="41" t="n">
        <f aca="false">Historicals!D36</f>
        <v>7326</v>
      </c>
      <c r="C10" s="34" t="n">
        <f aca="false">Historicals!F36+(Inputs!$B$5+Inputs!$H$60)*Inputs!$H$66</f>
        <v>26018.9</v>
      </c>
      <c r="D10" s="34" t="n">
        <f aca="false">C10*(1+Inputs!$H$67)</f>
        <v>53078.556</v>
      </c>
      <c r="E10" s="34" t="n">
        <f aca="false">D10*(1+Inputs!$H$68)</f>
        <v>76963.9062</v>
      </c>
      <c r="F10" s="34" t="n">
        <f aca="false">E10*(1+Inputs!$H$69)</f>
        <v>100053.07806</v>
      </c>
      <c r="G10" s="34" t="n">
        <f aca="false">F10*(1+Inputs!$H$70)</f>
        <v>120063.693672</v>
      </c>
    </row>
    <row r="11" customFormat="false" ht="15" hidden="false" customHeight="true" outlineLevel="0" collapsed="false">
      <c r="A11" s="13" t="s">
        <v>251</v>
      </c>
      <c r="B11" s="41" t="n">
        <f aca="false">Historicals!D37</f>
        <v>1839</v>
      </c>
      <c r="C11" s="34" t="n">
        <f aca="false">Historicals!F37+(Inputs!$B$5+Inputs!$H$60)*Historicals!G24</f>
        <v>9249.6455214193</v>
      </c>
      <c r="D11" s="34" t="n">
        <f aca="false">D5*Inputs!$H$71</f>
        <v>15183.84</v>
      </c>
      <c r="E11" s="34" t="n">
        <f aca="false">E5*Inputs!$H$72</f>
        <v>21853.884</v>
      </c>
      <c r="F11" s="34" t="n">
        <f aca="false">F5*Inputs!$H$73</f>
        <v>27233.3016</v>
      </c>
      <c r="G11" s="34" t="n">
        <f aca="false">G5*Inputs!$H$74</f>
        <v>31204.82475</v>
      </c>
    </row>
    <row r="12" customFormat="false" ht="15" hidden="false" customHeight="true" outlineLevel="0" collapsed="false">
      <c r="A12" s="13" t="s">
        <v>554</v>
      </c>
      <c r="B12" s="41" t="n">
        <f aca="false">Historicals!D49</f>
        <v>1158</v>
      </c>
      <c r="C12" s="34" t="n">
        <f aca="false">Historicals!F49+(Inputs!$B$5+Inputs!$H$60)*Historicals!G29</f>
        <v>6325.61981826049</v>
      </c>
      <c r="D12" s="34" t="n">
        <f aca="false">D5*Inputs!$H$75</f>
        <v>9761.04</v>
      </c>
      <c r="E12" s="34" t="n">
        <f aca="false">E5*Inputs!$H$76</f>
        <v>13448.544</v>
      </c>
      <c r="F12" s="34" t="n">
        <f aca="false">F5*Inputs!$H$77</f>
        <v>15886.0926</v>
      </c>
      <c r="G12" s="34" t="n">
        <f aca="false">G5*Inputs!$H$78</f>
        <v>17020.8135</v>
      </c>
    </row>
    <row r="13" customFormat="false" ht="15" hidden="false" customHeight="true" outlineLevel="0" collapsed="false">
      <c r="A13" s="13" t="s">
        <v>555</v>
      </c>
      <c r="B13" s="41" t="n">
        <f aca="false">Historicals!D39</f>
        <v>568</v>
      </c>
      <c r="C13" s="34" t="n">
        <f aca="false">Historicals!F39+(Inputs!$B$5+Inputs!$H$60)*Historicals!G25</f>
        <v>10178.486369537</v>
      </c>
      <c r="D13" s="34" t="n">
        <f aca="false">D5*Inputs!$H$79</f>
        <v>18437.52</v>
      </c>
      <c r="E13" s="34" t="n">
        <f aca="false">E5*Inputs!$H$80</f>
        <v>26897.088</v>
      </c>
      <c r="F13" s="34" t="n">
        <f aca="false">F5*Inputs!$H$81</f>
        <v>34041.627</v>
      </c>
      <c r="G13" s="34" t="n">
        <f aca="false">G5*Inputs!$H$82</f>
        <v>42552.03375</v>
      </c>
    </row>
    <row r="14" customFormat="false" ht="15" hidden="false" customHeight="true" outlineLevel="0" collapsed="false">
      <c r="A14" s="13" t="s">
        <v>556</v>
      </c>
      <c r="B14" s="41" t="n">
        <f aca="false">Historicals!D40</f>
        <v>1412</v>
      </c>
      <c r="C14" s="34" t="n">
        <f aca="false">Historicals!F40+(Inputs!$B$5+Inputs!$H$60)*Historicals!G26</f>
        <v>5099.39177845089</v>
      </c>
      <c r="D14" s="34" t="n">
        <f aca="false">D5*Inputs!$H$83</f>
        <v>8676.48</v>
      </c>
      <c r="E14" s="34" t="n">
        <f aca="false">E5*Inputs!$H$84</f>
        <v>11767.476</v>
      </c>
      <c r="F14" s="34" t="n">
        <f aca="false">F5*Inputs!$H$85</f>
        <v>13616.6508</v>
      </c>
      <c r="G14" s="34" t="n">
        <f aca="false">G5*Inputs!$H$86</f>
        <v>17020.8135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95376.396</v>
      </c>
      <c r="E16" s="36" t="n">
        <f aca="false">E10+E11+E13+E14+E15</f>
        <v>137482.3542</v>
      </c>
      <c r="F16" s="36" t="n">
        <f aca="false">F10+F11+F13+F14+F15</f>
        <v>174944.65746</v>
      </c>
      <c r="G16" s="36" t="n">
        <f aca="false">G10+G11+G13+G14+G15</f>
        <v>210841.365672</v>
      </c>
    </row>
    <row r="17" customFormat="false" ht="15" hidden="false" customHeight="true" outlineLevel="0" collapsed="false">
      <c r="A17" s="10" t="s">
        <v>558</v>
      </c>
      <c r="B17" s="35" t="n">
        <f aca="false">B5-B16</f>
        <v>-8060</v>
      </c>
      <c r="C17" s="35" t="n">
        <f aca="false">C5-C16</f>
        <v>1681.57633059282</v>
      </c>
      <c r="D17" s="35" t="n">
        <f aca="false">D5-D16</f>
        <v>13079.604</v>
      </c>
      <c r="E17" s="35" t="n">
        <f aca="false">E5-E16</f>
        <v>30624.4458</v>
      </c>
      <c r="F17" s="35" t="n">
        <f aca="false">F5-F16</f>
        <v>51999.52254</v>
      </c>
      <c r="G17" s="35" t="n">
        <f aca="false">G5-G16</f>
        <v>72838.8593280001</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0.120598251825625</v>
      </c>
      <c r="E18" s="16" t="n">
        <f aca="false">IFERROR(E17/E5,0)</f>
        <v>0.182172558159456</v>
      </c>
      <c r="F18" s="16" t="n">
        <f aca="false">IFERROR(F17/F5,0)</f>
        <v>0.229129130079476</v>
      </c>
      <c r="G18" s="16" t="n">
        <f aca="false">IFERROR(G17/G5,0)</f>
        <v>0.256763964876297</v>
      </c>
    </row>
    <row r="19" customFormat="false" ht="15" hidden="false" customHeight="true" outlineLevel="0" collapsed="false">
      <c r="A19" s="13" t="s">
        <v>560</v>
      </c>
      <c r="B19" s="16" t="n">
        <f aca="false">IFERROR(B10/B5,0)</f>
        <v>1.59781897491821</v>
      </c>
      <c r="C19" s="16" t="n">
        <f aca="false">IFERROR(C10/C5,0)</f>
        <v>0.479805635465073</v>
      </c>
      <c r="D19" s="16" t="n">
        <f aca="false">IFERROR(D10/D5,0)</f>
        <v>0.489401748174375</v>
      </c>
      <c r="E19" s="16" t="n">
        <f aca="false">IFERROR(E10/E5,0)</f>
        <v>0.457827441840544</v>
      </c>
      <c r="F19" s="16" t="n">
        <f aca="false">IFERROR(F10/F5,0)</f>
        <v>0.440870869920524</v>
      </c>
      <c r="G19" s="16" t="n">
        <f aca="false">IFERROR(G10/G5,0)</f>
        <v>0.423236035123703</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1/(1+Inputs!$B$19+Inputs!$H$89)^1</f>
        <v>0.892857142857143</v>
      </c>
      <c r="E21" s="52" t="n">
        <f aca="false">1/(1+Inputs!$B$19+Inputs!$H$89)^2</f>
        <v>0.79719387755102</v>
      </c>
      <c r="F21" s="52" t="n">
        <f aca="false">1/(1+Inputs!$B$19+Inputs!$H$89)^3</f>
        <v>0.711780247813411</v>
      </c>
      <c r="G21" s="52" t="n">
        <f aca="false">1/(1+Inputs!$B$19+Inputs!$H$89)^4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2169.12</v>
      </c>
      <c r="E25" s="34" t="n">
        <f aca="false">E5*E24</f>
        <v>8405.34</v>
      </c>
      <c r="F25" s="34" t="n">
        <f aca="false">F5*F24</f>
        <v>22694.418</v>
      </c>
      <c r="G25" s="34" t="n">
        <f aca="false">G5*G24</f>
        <v>42552.03375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17352.96</v>
      </c>
      <c r="E27" s="34" t="n">
        <f aca="false">E25*E26</f>
        <v>67242.72</v>
      </c>
      <c r="F27" s="34" t="n">
        <f aca="false">F25*F26</f>
        <v>181555.344</v>
      </c>
      <c r="G27" s="34" t="n">
        <f aca="false">G25*G26</f>
        <v>340416.27</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2602.944</v>
      </c>
      <c r="E29" s="36" t="n">
        <f aca="false">E27*E28</f>
        <v>10086.408</v>
      </c>
      <c r="F29" s="36" t="n">
        <f aca="false">F27*F28</f>
        <v>27233.3016</v>
      </c>
      <c r="G29" s="36" t="n">
        <f aca="false">G27*G28</f>
        <v>51062.4405</v>
      </c>
    </row>
    <row r="30" customFormat="false" ht="15" hidden="false" customHeight="true" outlineLevel="0" collapsed="false">
      <c r="A30" s="13" t="s">
        <v>570</v>
      </c>
      <c r="C30" s="34" t="n">
        <f aca="false">C25*Inputs!$C$103</f>
        <v>0</v>
      </c>
      <c r="D30" s="34" t="n">
        <f aca="false">D25*Inputs!$C$103</f>
        <v>650.736</v>
      </c>
      <c r="E30" s="34" t="n">
        <f aca="false">E25*Inputs!$C$103</f>
        <v>2521.602</v>
      </c>
      <c r="F30" s="34" t="n">
        <f aca="false">F25*Inputs!$C$103</f>
        <v>6808.3254</v>
      </c>
      <c r="G30" s="34" t="n">
        <f aca="false">G25*Inputs!$C$103</f>
        <v>12765.610125</v>
      </c>
    </row>
    <row r="31" customFormat="false" ht="15" hidden="false" customHeight="true" outlineLevel="0" collapsed="false">
      <c r="A31" s="13" t="s">
        <v>571</v>
      </c>
      <c r="C31" s="34" t="n">
        <f aca="false">C29-C30</f>
        <v>0</v>
      </c>
      <c r="D31" s="34" t="n">
        <f aca="false">D29-D30</f>
        <v>1952.208</v>
      </c>
      <c r="E31" s="34" t="n">
        <f aca="false">E29-E30</f>
        <v>7564.806</v>
      </c>
      <c r="F31" s="34" t="n">
        <f aca="false">F29-F30</f>
        <v>20424.9762</v>
      </c>
      <c r="G31" s="34" t="n">
        <f aca="false">G29-G30</f>
        <v>38296.830375</v>
      </c>
    </row>
    <row r="32" customFormat="false" ht="15" hidden="false" customHeight="true" outlineLevel="0" collapsed="false">
      <c r="A32" s="13" t="s">
        <v>572</v>
      </c>
      <c r="C32" s="34" t="n">
        <f aca="false">C29*Inputs!$C$104</f>
        <v>0</v>
      </c>
      <c r="D32" s="34" t="n">
        <f aca="false">D29*Inputs!$C$104</f>
        <v>520.5888</v>
      </c>
      <c r="E32" s="34" t="n">
        <f aca="false">E29*Inputs!$C$104</f>
        <v>2017.2816</v>
      </c>
      <c r="F32" s="34" t="n">
        <f aca="false">F29*Inputs!$C$104</f>
        <v>5446.66032</v>
      </c>
      <c r="G32" s="34" t="n">
        <f aca="false">G29*Inputs!$C$104</f>
        <v>10212.4881</v>
      </c>
    </row>
    <row r="33" customFormat="false" ht="15" hidden="false" customHeight="true" outlineLevel="0" collapsed="false">
      <c r="A33" s="13" t="s">
        <v>573</v>
      </c>
      <c r="C33" s="34" t="n">
        <f aca="false">C29*Inputs!$C$105</f>
        <v>0</v>
      </c>
      <c r="D33" s="34" t="n">
        <f aca="false">D29*Inputs!$C$105</f>
        <v>390.4416</v>
      </c>
      <c r="E33" s="34" t="n">
        <f aca="false">E29*Inputs!$C$105</f>
        <v>1512.9612</v>
      </c>
      <c r="F33" s="34" t="n">
        <f aca="false">F29*Inputs!$C$105</f>
        <v>4084.99524</v>
      </c>
      <c r="G33" s="34" t="n">
        <f aca="false">G29*Inputs!$C$105</f>
        <v>7659.366075</v>
      </c>
    </row>
    <row r="34" customFormat="false" ht="15" hidden="false" customHeight="true" outlineLevel="0" collapsed="false">
      <c r="A34" s="13" t="s">
        <v>574</v>
      </c>
      <c r="C34" s="34" t="n">
        <f aca="false">C29*Inputs!$C$106</f>
        <v>0</v>
      </c>
      <c r="D34" s="34" t="n">
        <f aca="false">D29*Inputs!$C$106</f>
        <v>260.2944</v>
      </c>
      <c r="E34" s="34" t="n">
        <f aca="false">E29*Inputs!$C$106</f>
        <v>1008.6408</v>
      </c>
      <c r="F34" s="34" t="n">
        <f aca="false">F29*Inputs!$C$106</f>
        <v>2723.33016</v>
      </c>
      <c r="G34" s="34" t="n">
        <f aca="false">G29*Inputs!$C$106</f>
        <v>5106.24405</v>
      </c>
    </row>
    <row r="35" customFormat="false" ht="15" hidden="false" customHeight="true" outlineLevel="0" collapsed="false">
      <c r="A35" s="10" t="s">
        <v>575</v>
      </c>
      <c r="C35" s="35" t="n">
        <f aca="false">C29-C30-C32-C33-C34</f>
        <v>0</v>
      </c>
      <c r="D35" s="35" t="n">
        <f aca="false">D29-D30-D32-D33-D34</f>
        <v>780.8832</v>
      </c>
      <c r="E35" s="35" t="n">
        <f aca="false">E29-E30-E32-E33-E34</f>
        <v>3025.9224</v>
      </c>
      <c r="F35" s="35" t="n">
        <f aca="false">F29-F30-F32-F33-F34</f>
        <v>8169.99048</v>
      </c>
      <c r="G35" s="35" t="n">
        <f aca="false">G29-G30-G32-G33-G34</f>
        <v>15318.73215</v>
      </c>
    </row>
    <row r="36" customFormat="false" ht="15" hidden="false" customHeight="true" outlineLevel="0" collapsed="false">
      <c r="A36" s="13" t="s">
        <v>91</v>
      </c>
      <c r="C36" s="54" t="n">
        <f aca="false">IFERROR(C27/Inputs!$B$27,0)</f>
        <v>0</v>
      </c>
      <c r="D36" s="54" t="n">
        <f aca="false">IFERROR(D27/Inputs!$B$27,0)</f>
        <v>0.000433824</v>
      </c>
      <c r="E36" s="54" t="n">
        <f aca="false">IFERROR(E27/Inputs!$B$27,0)</f>
        <v>0.001681068</v>
      </c>
      <c r="F36" s="54" t="n">
        <f aca="false">IFERROR(F27/Inputs!$B$27,0)</f>
        <v>0.0045388836</v>
      </c>
      <c r="G36" s="54" t="n">
        <f aca="false">IFERROR(G27/Inputs!$B$27,0)</f>
        <v>0.00851040675</v>
      </c>
    </row>
    <row r="37" customFormat="false" ht="15" hidden="false" customHeight="true" outlineLevel="0" collapsed="false">
      <c r="A37" s="13" t="s">
        <v>576</v>
      </c>
      <c r="C37" s="34" t="n">
        <f aca="false">CHOOSE(Inputs!$B$35,C31*Inputs!B$55,C29*Inputs!$B$36,0)</f>
        <v>0</v>
      </c>
      <c r="D37" s="34" t="n">
        <f aca="false">CHOOSE(Inputs!$B$35,D31*Inputs!C$55,D29*Inputs!$B$36,0)</f>
        <v>78.08832</v>
      </c>
      <c r="E37" s="34" t="n">
        <f aca="false">CHOOSE(Inputs!$B$35,E31*Inputs!D$55,E29*Inputs!$B$36,0)</f>
        <v>378.2403</v>
      </c>
      <c r="F37" s="34" t="n">
        <f aca="false">CHOOSE(Inputs!$B$35,F31*Inputs!E$55,F29*Inputs!$B$36,0)</f>
        <v>1021.24881</v>
      </c>
      <c r="G37" s="34" t="n">
        <f aca="false">CHOOSE(Inputs!$B$35,G31*Inputs!F$55,G29*Inputs!$B$36,0)</f>
        <v>1914.84151875</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Inputs!$H$92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53078.556</v>
      </c>
      <c r="E44" s="34" t="n">
        <f aca="false">E10*Inputs!$B$39</f>
        <v>76963.9062</v>
      </c>
      <c r="F44" s="34" t="n">
        <f aca="false">F10*Inputs!$B$39</f>
        <v>100053.07806</v>
      </c>
      <c r="G44" s="34" t="n">
        <f aca="false">G10*Inputs!$B$39</f>
        <v>120063.693672</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108456</v>
      </c>
      <c r="E49" s="34" t="n">
        <f aca="false">E5</f>
        <v>168106.8</v>
      </c>
      <c r="F49" s="34" t="n">
        <f aca="false">F5</f>
        <v>226944.18</v>
      </c>
      <c r="G49" s="34" t="n">
        <f aca="false">G5</f>
        <v>283680.225</v>
      </c>
    </row>
    <row r="50" customFormat="false" ht="15" hidden="false" customHeight="true" outlineLevel="0" collapsed="false">
      <c r="A50" s="13" t="s">
        <v>558</v>
      </c>
      <c r="C50" s="34" t="n">
        <f aca="false">C17</f>
        <v>1681.57633059282</v>
      </c>
      <c r="D50" s="34" t="n">
        <f aca="false">D17</f>
        <v>13079.604</v>
      </c>
      <c r="E50" s="34" t="n">
        <f aca="false">E17</f>
        <v>30624.4458</v>
      </c>
      <c r="F50" s="34" t="n">
        <f aca="false">F17</f>
        <v>51999.52254</v>
      </c>
      <c r="G50" s="34" t="n">
        <f aca="false">G17</f>
        <v>72838.8593280001</v>
      </c>
    </row>
    <row r="51" customFormat="false" ht="15" hidden="false" customHeight="true" outlineLevel="0" collapsed="false">
      <c r="A51" s="13" t="s">
        <v>586</v>
      </c>
      <c r="C51" s="34" t="n">
        <f aca="false">C5*Inputs!B$55</f>
        <v>1626.84</v>
      </c>
      <c r="D51" s="34" t="n">
        <f aca="false">D5*Inputs!C$55</f>
        <v>4338.24</v>
      </c>
      <c r="E51" s="34" t="n">
        <f aca="false">E5*Inputs!D$55</f>
        <v>8405.34</v>
      </c>
      <c r="F51" s="34" t="n">
        <f aca="false">F5*Inputs!E$55</f>
        <v>11347.209</v>
      </c>
      <c r="G51" s="34" t="n">
        <f aca="false">G5*Inputs!F$55</f>
        <v>14184.01125</v>
      </c>
    </row>
    <row r="52" customFormat="false" ht="15" hidden="false" customHeight="true" outlineLevel="0" collapsed="false">
      <c r="A52" s="13" t="s">
        <v>587</v>
      </c>
      <c r="C52" s="33" t="n">
        <v>0</v>
      </c>
      <c r="D52" s="34" t="n">
        <f aca="false">SUMPRODUCT($D51:D51,--((4-COLUMN($D51:D51))&lt;Inputs!$B$32))/Inputs!$B$32</f>
        <v>867.648</v>
      </c>
      <c r="E52" s="34" t="n">
        <f aca="false">SUMPRODUCT($D51:E51,--((5-COLUMN($D51:E51))&lt;Inputs!$B$32))/Inputs!$B$32</f>
        <v>2548.716</v>
      </c>
      <c r="F52" s="34" t="n">
        <f aca="false">SUMPRODUCT($D51:F51,--((6-COLUMN($D51:F51))&lt;Inputs!$B$32))/Inputs!$B$32</f>
        <v>4818.1578</v>
      </c>
      <c r="G52" s="34" t="n">
        <f aca="false">SUMPRODUCT($D51:G51,--((7-COLUMN($D51:G51))&lt;Inputs!$B$32))/Inputs!$B$32</f>
        <v>7654.96005</v>
      </c>
    </row>
    <row r="53" customFormat="false" ht="15" hidden="false" customHeight="true" outlineLevel="0" collapsed="false">
      <c r="A53" s="10" t="s">
        <v>588</v>
      </c>
      <c r="C53" s="36" t="n">
        <f aca="false">C50-C52</f>
        <v>1681.57633059282</v>
      </c>
      <c r="D53" s="36" t="n">
        <f aca="false">D50-D52</f>
        <v>12211.956</v>
      </c>
      <c r="E53" s="36" t="n">
        <f aca="false">E50-E52</f>
        <v>28075.7298</v>
      </c>
      <c r="F53" s="36" t="n">
        <f aca="false">F50-F52</f>
        <v>47181.36474</v>
      </c>
      <c r="G53" s="36" t="n">
        <f aca="false">G50-G52</f>
        <v>65183.8992780001</v>
      </c>
    </row>
    <row r="54" customFormat="false" ht="15" hidden="false" customHeight="true" outlineLevel="0" collapsed="false">
      <c r="A54" s="13" t="s">
        <v>589</v>
      </c>
      <c r="C54" s="16" t="n">
        <f aca="false">IFERROR(C53/C49,0)</f>
        <v>0.0310093739505942</v>
      </c>
      <c r="D54" s="16" t="n">
        <f aca="false">IFERROR(D53/D49,0)</f>
        <v>0.112598251825625</v>
      </c>
      <c r="E54" s="16" t="n">
        <f aca="false">IFERROR(E53/E49,0)</f>
        <v>0.167011267836875</v>
      </c>
      <c r="F54" s="16" t="n">
        <f aca="false">IFERROR(F53/F49,0)</f>
        <v>0.207898544655342</v>
      </c>
      <c r="G54" s="16" t="n">
        <f aca="false">IFERROR(G53/G49,0)</f>
        <v>0.22977949653699</v>
      </c>
    </row>
    <row r="55" customFormat="false" ht="15" hidden="false" customHeight="true" outlineLevel="0" collapsed="false">
      <c r="A55" s="13" t="s">
        <v>590</v>
      </c>
      <c r="C55" s="34" t="n">
        <f aca="false">Historicals!F43+C80*Inputs!$B$20/2</f>
        <v>2756.6375</v>
      </c>
      <c r="D55" s="34" t="n">
        <f aca="false">MAX(0,D80-D81)*Inputs!$B$20</f>
        <v>3507.94776314153</v>
      </c>
      <c r="E55" s="34" t="n">
        <f aca="false">MAX(0,E80-E81)*Inputs!$B$20</f>
        <v>3992.45661200179</v>
      </c>
      <c r="F55" s="34" t="n">
        <f aca="false">MAX(0,F80-F81)*Inputs!$B$20</f>
        <v>4788.24071699211</v>
      </c>
      <c r="G55" s="34" t="n">
        <f aca="false">MAX(0,G80-G81)*Inputs!$B$20</f>
        <v>6004.2259923918</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15719.9037631415</v>
      </c>
      <c r="E58" s="34" t="n">
        <f aca="false">E53+E55+E56-E57</f>
        <v>32068.1864120018</v>
      </c>
      <c r="F58" s="34" t="n">
        <f aca="false">F53+F55+F56-F57</f>
        <v>51969.6054569921</v>
      </c>
      <c r="G58" s="34" t="n">
        <f aca="false">G53+G55+G56-G57</f>
        <v>71188.1252703919</v>
      </c>
    </row>
    <row r="59" customFormat="false" ht="15" hidden="false" customHeight="true" outlineLevel="0" collapsed="false">
      <c r="A59" s="13" t="s">
        <v>594</v>
      </c>
      <c r="C59" s="34" t="n">
        <f aca="false">C58*Inputs!$B$46</f>
        <v>3195.51395802683</v>
      </c>
      <c r="D59" s="34" t="n">
        <f aca="false">D58*Inputs!$B$46</f>
        <v>11318.3307094619</v>
      </c>
      <c r="E59" s="34" t="n">
        <f aca="false">E58*Inputs!$B$46</f>
        <v>23089.0942166413</v>
      </c>
      <c r="F59" s="34" t="n">
        <f aca="false">F58*Inputs!$B$46</f>
        <v>37418.1159290343</v>
      </c>
      <c r="G59" s="34" t="n">
        <f aca="false">G58*Inputs!$B$46</f>
        <v>51255.4501946822</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191.73083748161</v>
      </c>
      <c r="D63" s="34" t="n">
        <f aca="false">MAX(0,D59-D61)*Inputs!$B$47</f>
        <v>427.099842567714</v>
      </c>
      <c r="E63" s="34" t="n">
        <f aca="false">MAX(0,E59-E61)*Inputs!$B$47</f>
        <v>1385.34565299848</v>
      </c>
      <c r="F63" s="34" t="n">
        <f aca="false">MAX(0,F59-F61)*Inputs!$B$47</f>
        <v>2245.08695574206</v>
      </c>
      <c r="G63" s="34" t="n">
        <f aca="false">MAX(0,G59-G61)*Inputs!$B$47</f>
        <v>3075.32701168093</v>
      </c>
    </row>
    <row r="64" customFormat="false" ht="15" hidden="false" customHeight="true" outlineLevel="0" collapsed="false">
      <c r="A64" s="13" t="s">
        <v>599</v>
      </c>
      <c r="C64" s="34" t="n">
        <f aca="false">C58-C63</f>
        <v>4246.48299311121</v>
      </c>
      <c r="D64" s="34" t="n">
        <f aca="false">D58-D63</f>
        <v>15292.8039205738</v>
      </c>
      <c r="E64" s="34" t="n">
        <f aca="false">E58-E63</f>
        <v>30682.8407590033</v>
      </c>
      <c r="F64" s="34" t="n">
        <f aca="false">F58-F63</f>
        <v>49724.5185012501</v>
      </c>
      <c r="G64" s="34" t="n">
        <f aca="false">G58-G63</f>
        <v>68112.798258711</v>
      </c>
    </row>
    <row r="65" customFormat="false" ht="15" hidden="false" customHeight="true" outlineLevel="0" collapsed="false">
      <c r="A65" s="13" t="s">
        <v>600</v>
      </c>
      <c r="C65" s="34" t="n">
        <f aca="false">Inputs!$B$44</f>
        <v>8200</v>
      </c>
      <c r="D65" s="34" t="n">
        <f aca="false">C67</f>
        <v>4802.81360551103</v>
      </c>
      <c r="E65" s="34" t="n">
        <f aca="false">D67</f>
        <v>0</v>
      </c>
      <c r="F65" s="34" t="n">
        <f aca="false">E67</f>
        <v>0</v>
      </c>
      <c r="G65" s="34" t="n">
        <f aca="false">F67</f>
        <v>0</v>
      </c>
    </row>
    <row r="66" customFormat="false" ht="15" hidden="false" customHeight="true" outlineLevel="0" collapsed="false">
      <c r="A66" s="13" t="s">
        <v>601</v>
      </c>
      <c r="C66" s="34" t="n">
        <f aca="false">MIN(C65,Inputs!$B$45*MAX(0,C64))</f>
        <v>3397.18639448897</v>
      </c>
      <c r="D66" s="34" t="n">
        <f aca="false">MIN(D65,Inputs!$B$45*MAX(0,D64))</f>
        <v>4802.81360551103</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0</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178.352285710671</v>
      </c>
      <c r="D68" s="34" t="n">
        <f aca="false">MAX(0,D64-D66)*Inputs!$B$43</f>
        <v>2202.89796616318</v>
      </c>
      <c r="E68" s="34" t="n">
        <f aca="false">MAX(0,E64-E66)*Inputs!$B$43</f>
        <v>6443.3965593907</v>
      </c>
      <c r="F68" s="34" t="n">
        <f aca="false">MAX(0,F64-F66)*Inputs!$B$43</f>
        <v>10442.1488852625</v>
      </c>
      <c r="G68" s="34" t="n">
        <f aca="false">MAX(0,G64-G66)*Inputs!$B$43</f>
        <v>14303.6876343293</v>
      </c>
    </row>
    <row r="69" customFormat="false" ht="15" hidden="false" customHeight="true" outlineLevel="0" collapsed="false">
      <c r="A69" s="10" t="s">
        <v>604</v>
      </c>
      <c r="C69" s="36" t="n">
        <f aca="false">IF(Inputs!$H$90=0,MAX(0,C53+C55)*Inputs!B$54,IF(Inputs!$H$90=2,MAX(0,C58)*Inputs!$H$91,C63+C68))</f>
        <v>370.083123192281</v>
      </c>
      <c r="D69" s="36" t="n">
        <f aca="false">IF(Inputs!$H$90=0,MAX(0,D53+D55)*Inputs!C$54,IF(Inputs!$H$90=2,MAX(0,D58)*Inputs!$H$91,D63+D68))</f>
        <v>2629.9978087309</v>
      </c>
      <c r="E69" s="36" t="n">
        <f aca="false">IF(Inputs!$H$90=0,MAX(0,E53+E55)*Inputs!D$54,IF(Inputs!$H$90=2,MAX(0,E58)*Inputs!$H$91,E63+E68))</f>
        <v>7828.74221238918</v>
      </c>
      <c r="F69" s="36" t="n">
        <f aca="false">IF(Inputs!$H$90=0,MAX(0,F53+F55)*Inputs!E$54,IF(Inputs!$H$90=2,MAX(0,F58)*Inputs!$H$91,F63+F68))</f>
        <v>12687.2358410046</v>
      </c>
      <c r="G69" s="36" t="n">
        <f aca="false">IF(Inputs!$H$90=0,MAX(0,G53+G55)*Inputs!F$54,IF(Inputs!$H$90=2,MAX(0,G58)*Inputs!$H$91,G63+G68))</f>
        <v>17379.0146460102</v>
      </c>
    </row>
    <row r="70" customFormat="false" ht="15" hidden="false" customHeight="true" outlineLevel="0" collapsed="false">
      <c r="A70" s="13" t="s">
        <v>605</v>
      </c>
      <c r="C70" s="16" t="n">
        <f aca="false">IF(C58&gt;0,MIN(1,C69/C58),0)</f>
        <v>0.0833856</v>
      </c>
      <c r="D70" s="16" t="n">
        <f aca="false">IF(D58&gt;0,MIN(1,D69/D58),0)</f>
        <v>0.167303683811186</v>
      </c>
      <c r="E70" s="16" t="n">
        <f aca="false">IF(E58&gt;0,MIN(1,E69/E58),0)</f>
        <v>0.244128</v>
      </c>
      <c r="F70" s="16" t="n">
        <f aca="false">IF(F58&gt;0,MIN(1,F69/F58),0)</f>
        <v>0.244128</v>
      </c>
      <c r="G70" s="16" t="n">
        <f aca="false">IF(G58&gt;0,MIN(1,G69/G58),0)</f>
        <v>0.244128</v>
      </c>
    </row>
    <row r="71" customFormat="false" ht="15" hidden="false" customHeight="true" outlineLevel="0" collapsed="false">
      <c r="A71" s="13" t="s">
        <v>606</v>
      </c>
      <c r="C71" s="34" t="n">
        <f aca="false">C53+C55-C69</f>
        <v>4068.13070740054</v>
      </c>
      <c r="D71" s="34" t="n">
        <f aca="false">D53+D55-D69</f>
        <v>13089.9059544106</v>
      </c>
      <c r="E71" s="34" t="n">
        <f aca="false">E53+E55-E69</f>
        <v>24239.4441996126</v>
      </c>
      <c r="F71" s="34" t="n">
        <f aca="false">F53+F55-F69</f>
        <v>39282.3696159876</v>
      </c>
      <c r="G71" s="34" t="n">
        <f aca="false">G53+G55-G69</f>
        <v>53809.1106243817</v>
      </c>
    </row>
    <row r="72" customFormat="false" ht="15" hidden="false" customHeight="true" outlineLevel="0" collapsed="false">
      <c r="A72" s="13" t="s">
        <v>607</v>
      </c>
      <c r="C72" s="34" t="n">
        <f aca="false">C12+C20</f>
        <v>8451.61981826049</v>
      </c>
      <c r="D72" s="34" t="n">
        <f aca="false">D12+D20</f>
        <v>9761.04</v>
      </c>
      <c r="E72" s="34" t="n">
        <f aca="false">E12+E20</f>
        <v>13448.544</v>
      </c>
      <c r="F72" s="34" t="n">
        <f aca="false">F12+F20</f>
        <v>15886.0926</v>
      </c>
      <c r="G72" s="34" t="n">
        <f aca="false">G12+G20</f>
        <v>17020.8135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10892.910525661</v>
      </c>
      <c r="D75" s="36" t="n">
        <f aca="false">D53+D72+D52+D55-D69-D51+D73+D74</f>
        <v>19380.3539544106</v>
      </c>
      <c r="E75" s="36" t="n">
        <f aca="false">E53+E72+E52+E55-E69-E51+E73+E74</f>
        <v>31831.3641996126</v>
      </c>
      <c r="F75" s="36" t="n">
        <f aca="false">F53+F72+F52+F55-F69-F51+F73+F74</f>
        <v>48639.4110159876</v>
      </c>
      <c r="G75" s="36" t="n">
        <f aca="false">G53+G72+G52+G55-G69-G51+G73+G74</f>
        <v>64300.8729243817</v>
      </c>
    </row>
    <row r="76" customFormat="false" ht="15" hidden="false" customHeight="true" outlineLevel="0" collapsed="false">
      <c r="A76" s="10" t="s">
        <v>611</v>
      </c>
      <c r="C76" s="36" t="n">
        <f aca="false">C53+C52-(C69-C55*C70)-C51+C73+C74</f>
        <v>-85.4829206794611</v>
      </c>
      <c r="D76" s="36" t="n">
        <f aca="false">D53+D52-(D69-D55*D70)-D51+D73+D74</f>
        <v>6698.25877465988</v>
      </c>
      <c r="E76" s="36" t="n">
        <f aca="false">E53+E52-(E69-E55*E70)-E51+E73+E74</f>
        <v>15365.0340353856</v>
      </c>
      <c r="F76" s="36" t="n">
        <f aca="false">F53+F52-(F69-F55*F70)-F51+F73+F74</f>
        <v>29134.0213287533</v>
      </c>
      <c r="G76" s="36" t="n">
        <f aca="false">G53+G52-(G69-G55*G70)-G51+G73+G74</f>
        <v>42741.6331150605</v>
      </c>
    </row>
    <row r="77" customFormat="false" ht="15" hidden="false" customHeight="true" outlineLevel="0" collapsed="false">
      <c r="A77" s="13" t="s">
        <v>612</v>
      </c>
      <c r="C77" s="16" t="n">
        <f aca="false">IFERROR(C76/C49,0)</f>
        <v>-0.00157636130190052</v>
      </c>
      <c r="D77" s="16" t="n">
        <f aca="false">IFERROR(D76/D49,0)</f>
        <v>0.0617601495044984</v>
      </c>
      <c r="E77" s="16" t="n">
        <f aca="false">IFERROR(E76/E49,0)</f>
        <v>0.0914004313649752</v>
      </c>
      <c r="F77" s="16" t="n">
        <f aca="false">IFERROR(F76/F49,0)</f>
        <v>0.128375274169857</v>
      </c>
      <c r="G77" s="16" t="n">
        <f aca="false">IFERROR(G76/G49,0)</f>
        <v>0.150668355945715</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140317.910525661</v>
      </c>
      <c r="E80" s="34" t="n">
        <f aca="false">D85</f>
        <v>159698.264480072</v>
      </c>
      <c r="F80" s="34" t="n">
        <f aca="false">E85</f>
        <v>191529.628679684</v>
      </c>
      <c r="G80" s="34" t="n">
        <f aca="false">F85</f>
        <v>240169.039695672</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8666.91052566103</v>
      </c>
      <c r="D82" s="34" t="n">
        <f aca="false">D75</f>
        <v>19380.3539544106</v>
      </c>
      <c r="E82" s="34" t="n">
        <f aca="false">E75</f>
        <v>31831.3641996126</v>
      </c>
      <c r="F82" s="34" t="n">
        <f aca="false">F75</f>
        <v>48639.4110159876</v>
      </c>
      <c r="G82" s="34" t="n">
        <f aca="false">G75</f>
        <v>64300.8729243817</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140317.910525661</v>
      </c>
      <c r="D85" s="36" t="n">
        <f aca="false">D80+D82+D83+D84</f>
        <v>159698.264480072</v>
      </c>
      <c r="E85" s="36" t="n">
        <f aca="false">E80+E82+E83+E84</f>
        <v>191529.628679684</v>
      </c>
      <c r="F85" s="36" t="n">
        <f aca="false">F80+F82+F83+F84</f>
        <v>240169.039695672</v>
      </c>
      <c r="G85" s="36" t="n">
        <f aca="false">G80+G82+G83+G84</f>
        <v>304469.912620054</v>
      </c>
    </row>
    <row r="86" customFormat="false" ht="15" hidden="false" customHeight="true" outlineLevel="0" collapsed="false">
      <c r="A86" s="13" t="s">
        <v>622</v>
      </c>
      <c r="C86" s="34" t="n">
        <f aca="false">MIN(C80-C81,C85)</f>
        <v>131651</v>
      </c>
      <c r="D86" s="34" t="n">
        <f aca="false">MIN(D80-D81,D85)</f>
        <v>140317.910525661</v>
      </c>
      <c r="E86" s="34" t="n">
        <f aca="false">MIN(E80-E81,E85)</f>
        <v>159698.264480072</v>
      </c>
      <c r="F86" s="34" t="n">
        <f aca="false">MIN(F80-F81,F85)</f>
        <v>191529.628679684</v>
      </c>
      <c r="G86" s="34" t="n">
        <f aca="false">MIN(G80-G81,G85)</f>
        <v>240169.039695672</v>
      </c>
    </row>
    <row r="87" customFormat="false" ht="15" hidden="false" customHeight="true" outlineLevel="0" collapsed="false">
      <c r="A87" s="13" t="s">
        <v>623</v>
      </c>
      <c r="C87" s="34" t="n">
        <f aca="false">C86-Inputs!$B$29</f>
        <v>126651</v>
      </c>
      <c r="D87" s="34" t="n">
        <f aca="false">D86-Inputs!$B$29</f>
        <v>135317.910525661</v>
      </c>
      <c r="E87" s="34" t="n">
        <f aca="false">E86-Inputs!$B$29</f>
        <v>154698.264480072</v>
      </c>
      <c r="F87" s="34" t="n">
        <f aca="false">F86-Inputs!$B$29</f>
        <v>186529.628679684</v>
      </c>
      <c r="G87" s="34" t="n">
        <f aca="false">G86-Inputs!$B$29</f>
        <v>235169.039695672</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140317.910525661</v>
      </c>
      <c r="D100" s="34" t="n">
        <f aca="false">D85+SUM($C97:D97)+SUM($C98:D98)-SUM($C99:D99)</f>
        <v>159698.264480072</v>
      </c>
      <c r="E100" s="34" t="n">
        <f aca="false">E85+SUM($C97:E97)+SUM($C98:E98)-SUM($C99:E99)</f>
        <v>191529.628679684</v>
      </c>
      <c r="F100" s="34" t="n">
        <f aca="false">F85+SUM($C97:F97)+SUM($C98:F98)-SUM($C99:F99)</f>
        <v>240169.039695672</v>
      </c>
      <c r="G100" s="34" t="n">
        <f aca="false">G85+SUM($C97:G97)+SUM($C98:G98)-SUM($C99:G99)</f>
        <v>304469.912620054</v>
      </c>
    </row>
    <row r="101" customFormat="false" ht="15" hidden="false" customHeight="true" outlineLevel="0" collapsed="false">
      <c r="A101" s="13" t="s">
        <v>637</v>
      </c>
      <c r="C101" s="34" t="n">
        <f aca="false">MIN(C80-C81+0+C97,C100)</f>
        <v>131651</v>
      </c>
      <c r="D101" s="34" t="n">
        <f aca="false">MIN(D80-D81+SUM($C97:C97)+SUM($C98:C98)-SUM($C99:C99)+D97,D100)</f>
        <v>140317.910525661</v>
      </c>
      <c r="E101" s="34" t="n">
        <f aca="false">MIN(E80-E81+SUM($C97:D97)+SUM($C98:D98)-SUM($C99:D99)+E97,E100)</f>
        <v>159698.264480072</v>
      </c>
      <c r="F101" s="34" t="n">
        <f aca="false">MIN(F80-F81+SUM($C97:E97)+SUM($C98:E98)-SUM($C99:E99)+F97,F100)</f>
        <v>191529.628679684</v>
      </c>
      <c r="G101" s="34" t="n">
        <f aca="false">MIN(G80-G81+SUM($C97:F97)+SUM($C98:F98)-SUM($C99:F99)+G97,G100)</f>
        <v>240169.039695672</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110408.208</v>
      </c>
      <c r="E105" s="34" t="n">
        <f aca="false">E5+E31</f>
        <v>175671.606</v>
      </c>
      <c r="F105" s="34" t="n">
        <f aca="false">F5+F31</f>
        <v>247369.1562</v>
      </c>
      <c r="G105" s="34" t="n">
        <f aca="false">G5+G31</f>
        <v>321977.055375</v>
      </c>
    </row>
    <row r="106" customFormat="false" ht="15" hidden="false" customHeight="true" outlineLevel="0" collapsed="false">
      <c r="A106" s="13" t="s">
        <v>558</v>
      </c>
      <c r="C106" s="34" t="n">
        <f aca="false">C17+C35</f>
        <v>1681.57633059282</v>
      </c>
      <c r="D106" s="34" t="n">
        <f aca="false">D17+D35</f>
        <v>13860.4872</v>
      </c>
      <c r="E106" s="34" t="n">
        <f aca="false">E17+E35</f>
        <v>33650.3682</v>
      </c>
      <c r="F106" s="34" t="n">
        <f aca="false">F17+F35</f>
        <v>60169.51302</v>
      </c>
      <c r="G106" s="34" t="n">
        <f aca="false">G17+G35</f>
        <v>88157.5914780001</v>
      </c>
    </row>
    <row r="107" customFormat="false" ht="15" hidden="false" customHeight="true" outlineLevel="0" collapsed="false">
      <c r="A107" s="13" t="s">
        <v>586</v>
      </c>
      <c r="C107" s="34" t="n">
        <f aca="false">C51+C37</f>
        <v>1626.84</v>
      </c>
      <c r="D107" s="34" t="n">
        <f aca="false">D51+D37</f>
        <v>4416.32832</v>
      </c>
      <c r="E107" s="34" t="n">
        <f aca="false">E51+E37</f>
        <v>8783.5803</v>
      </c>
      <c r="F107" s="34" t="n">
        <f aca="false">F51+F37</f>
        <v>12368.45781</v>
      </c>
      <c r="G107" s="34" t="n">
        <f aca="false">G51+G37</f>
        <v>16098.85276875</v>
      </c>
    </row>
    <row r="108" customFormat="false" ht="15" hidden="false" customHeight="true" outlineLevel="0" collapsed="false">
      <c r="A108" s="13" t="s">
        <v>587</v>
      </c>
      <c r="C108" s="33" t="n">
        <v>0</v>
      </c>
      <c r="D108" s="34" t="n">
        <f aca="false">SUMPRODUCT($D107:D107,--((4-COLUMN($D107:D107))&lt;Inputs!$B$32))/Inputs!$B$32</f>
        <v>883.265664</v>
      </c>
      <c r="E108" s="34" t="n">
        <f aca="false">SUMPRODUCT($D107:E107,--((5-COLUMN($D107:E107))&lt;Inputs!$B$32))/Inputs!$B$32</f>
        <v>2639.981724</v>
      </c>
      <c r="F108" s="34" t="n">
        <f aca="false">SUMPRODUCT($D107:F107,--((6-COLUMN($D107:F107))&lt;Inputs!$B$32))/Inputs!$B$32</f>
        <v>5113.673286</v>
      </c>
      <c r="G108" s="34" t="n">
        <f aca="false">SUMPRODUCT($D107:G107,--((7-COLUMN($D107:G107))&lt;Inputs!$B$32))/Inputs!$B$32</f>
        <v>8333.44383975</v>
      </c>
    </row>
    <row r="109" customFormat="false" ht="15" hidden="false" customHeight="true" outlineLevel="0" collapsed="false">
      <c r="A109" s="10" t="s">
        <v>588</v>
      </c>
      <c r="C109" s="36" t="n">
        <f aca="false">C106-C108</f>
        <v>1681.57633059282</v>
      </c>
      <c r="D109" s="36" t="n">
        <f aca="false">D106-D108</f>
        <v>12977.221536</v>
      </c>
      <c r="E109" s="36" t="n">
        <f aca="false">E106-E108</f>
        <v>31010.386476</v>
      </c>
      <c r="F109" s="36" t="n">
        <f aca="false">F106-F108</f>
        <v>55055.839734</v>
      </c>
      <c r="G109" s="36" t="n">
        <f aca="false">G106-G108</f>
        <v>79824.1476382501</v>
      </c>
    </row>
    <row r="110" customFormat="false" ht="15" hidden="false" customHeight="true" outlineLevel="0" collapsed="false">
      <c r="A110" s="13" t="s">
        <v>589</v>
      </c>
      <c r="C110" s="16" t="n">
        <f aca="false">IFERROR(C109/C105,0)</f>
        <v>0.0310093739505942</v>
      </c>
      <c r="D110" s="16" t="n">
        <f aca="false">IFERROR(D109/D105,0)</f>
        <v>0.117538557785486</v>
      </c>
      <c r="E110" s="16" t="n">
        <f aca="false">IFERROR(E109/E105,0)</f>
        <v>0.176524750823989</v>
      </c>
      <c r="F110" s="16" t="n">
        <f aca="false">IFERROR(F109/F105,0)</f>
        <v>0.222565499190558</v>
      </c>
      <c r="G110" s="16" t="n">
        <f aca="false">IFERROR(G109/G105,0)</f>
        <v>0.247918745468619</v>
      </c>
    </row>
    <row r="111" customFormat="false" ht="15" hidden="false" customHeight="true" outlineLevel="0" collapsed="false">
      <c r="A111" s="13" t="s">
        <v>590</v>
      </c>
      <c r="C111" s="34" t="n">
        <f aca="false">Historicals!F43+C136*Inputs!$B$20/2</f>
        <v>2756.6375</v>
      </c>
      <c r="D111" s="34" t="n">
        <f aca="false">MAX(0,D136-D137)*Inputs!$B$20</f>
        <v>3507.94776314153</v>
      </c>
      <c r="E111" s="34" t="n">
        <f aca="false">MAX(0,E136-E137)*Inputs!$B$20</f>
        <v>4005.35591538248</v>
      </c>
      <c r="F111" s="34" t="n">
        <f aca="false">MAX(0,F136-F137)*Inputs!$B$20</f>
        <v>4849.66503180395</v>
      </c>
      <c r="G111" s="34" t="n">
        <f aca="false">MAX(0,G136-G137)*Inputs!$B$20</f>
        <v>6197.4700761624</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16485.1692991415</v>
      </c>
      <c r="E114" s="34" t="n">
        <f aca="false">E109+E111+E112-E113</f>
        <v>35015.7423913825</v>
      </c>
      <c r="F114" s="34" t="n">
        <f aca="false">F109+F111+F112-F113</f>
        <v>59905.504765804</v>
      </c>
      <c r="G114" s="34" t="n">
        <f aca="false">G109+G111+G112-G113</f>
        <v>86021.6177144125</v>
      </c>
    </row>
    <row r="115" customFormat="false" ht="15" hidden="false" customHeight="true" outlineLevel="0" collapsed="false">
      <c r="A115" s="13" t="s">
        <v>594</v>
      </c>
      <c r="C115" s="34" t="n">
        <f aca="false">C114*Inputs!$B$46</f>
        <v>3195.51395802683</v>
      </c>
      <c r="D115" s="34" t="n">
        <f aca="false">D114*Inputs!$B$46</f>
        <v>11869.3218953819</v>
      </c>
      <c r="E115" s="34" t="n">
        <f aca="false">E114*Inputs!$B$46</f>
        <v>25211.3345217954</v>
      </c>
      <c r="F115" s="34" t="n">
        <f aca="false">F114*Inputs!$B$46</f>
        <v>43131.9634313789</v>
      </c>
      <c r="G115" s="34" t="n">
        <f aca="false">G114*Inputs!$B$46</f>
        <v>61935.564754377</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191.73083748161</v>
      </c>
      <c r="D119" s="34" t="n">
        <f aca="false">MAX(0,D115-D117)*Inputs!$B$47</f>
        <v>460.159313722914</v>
      </c>
      <c r="E119" s="34" t="n">
        <f aca="false">MAX(0,E115-E117)*Inputs!$B$47</f>
        <v>1512.68007130772</v>
      </c>
      <c r="F119" s="34" t="n">
        <f aca="false">MAX(0,F115-F117)*Inputs!$B$47</f>
        <v>2587.91780588273</v>
      </c>
      <c r="G119" s="34" t="n">
        <f aca="false">MAX(0,G115-G117)*Inputs!$B$47</f>
        <v>3716.13388526262</v>
      </c>
    </row>
    <row r="120" customFormat="false" ht="15" hidden="false" customHeight="true" outlineLevel="0" collapsed="false">
      <c r="A120" s="13" t="s">
        <v>599</v>
      </c>
      <c r="C120" s="34" t="n">
        <f aca="false">C114-C119</f>
        <v>4246.48299311121</v>
      </c>
      <c r="D120" s="34" t="n">
        <f aca="false">D114-D119</f>
        <v>16025.0099854186</v>
      </c>
      <c r="E120" s="34" t="n">
        <f aca="false">E114-E119</f>
        <v>33503.0623200748</v>
      </c>
      <c r="F120" s="34" t="n">
        <f aca="false">F114-F119</f>
        <v>57317.5869599213</v>
      </c>
      <c r="G120" s="34" t="n">
        <f aca="false">G114-G119</f>
        <v>82305.4838291499</v>
      </c>
    </row>
    <row r="121" customFormat="false" ht="15" hidden="false" customHeight="true" outlineLevel="0" collapsed="false">
      <c r="A121" s="13" t="s">
        <v>600</v>
      </c>
      <c r="C121" s="34" t="n">
        <f aca="false">Inputs!$B$44</f>
        <v>8200</v>
      </c>
      <c r="D121" s="34" t="n">
        <f aca="false">C123</f>
        <v>4802.81360551103</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3397.18639448897</v>
      </c>
      <c r="D122" s="34" t="n">
        <f aca="false">MIN(D121,Inputs!$B$45*MAX(0,D120))</f>
        <v>4802.81360551103</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178.352285710671</v>
      </c>
      <c r="D124" s="34" t="n">
        <f aca="false">MAX(0,D120-D122)*Inputs!$B$43</f>
        <v>2356.66123978059</v>
      </c>
      <c r="E124" s="34" t="n">
        <f aca="false">MAX(0,E120-E122)*Inputs!$B$43</f>
        <v>7035.6430872157</v>
      </c>
      <c r="F124" s="34" t="n">
        <f aca="false">MAX(0,F120-F122)*Inputs!$B$43</f>
        <v>12036.6932615835</v>
      </c>
      <c r="G124" s="34" t="n">
        <f aca="false">MAX(0,G120-G122)*Inputs!$B$43</f>
        <v>17284.1516041215</v>
      </c>
    </row>
    <row r="125" customFormat="false" ht="15" hidden="false" customHeight="true" outlineLevel="0" collapsed="false">
      <c r="A125" s="10" t="s">
        <v>604</v>
      </c>
      <c r="C125" s="36" t="n">
        <f aca="false">IF(Inputs!$H$90=0,MAX(0,C109+C111)*Inputs!B$54,IF(Inputs!$H$90=2,MAX(0,C114)*Inputs!$H$91,C119+C124))</f>
        <v>370.083123192281</v>
      </c>
      <c r="D125" s="36" t="n">
        <f aca="false">IF(Inputs!$H$90=0,MAX(0,D109+D111)*Inputs!C$54,IF(Inputs!$H$90=2,MAX(0,D114)*Inputs!$H$91,D119+D124))</f>
        <v>2816.8205535035</v>
      </c>
      <c r="E125" s="36" t="n">
        <f aca="false">IF(Inputs!$H$90=0,MAX(0,E109+E111)*Inputs!D$54,IF(Inputs!$H$90=2,MAX(0,E114)*Inputs!$H$91,E119+E124))</f>
        <v>8548.32315852342</v>
      </c>
      <c r="F125" s="36" t="n">
        <f aca="false">IF(Inputs!$H$90=0,MAX(0,F109+F111)*Inputs!E$54,IF(Inputs!$H$90=2,MAX(0,F114)*Inputs!$H$91,F119+F124))</f>
        <v>14624.6110674662</v>
      </c>
      <c r="G125" s="36" t="n">
        <f aca="false">IF(Inputs!$H$90=0,MAX(0,G109+G111)*Inputs!F$54,IF(Inputs!$H$90=2,MAX(0,G114)*Inputs!$H$91,G119+G124))</f>
        <v>21000.2854893841</v>
      </c>
    </row>
    <row r="126" customFormat="false" ht="15" hidden="false" customHeight="true" outlineLevel="0" collapsed="false">
      <c r="A126" s="13" t="s">
        <v>605</v>
      </c>
      <c r="C126" s="16" t="n">
        <f aca="false">IF(C114&gt;0,MIN(1,C125/C114),0)</f>
        <v>0.0833856</v>
      </c>
      <c r="D126" s="16" t="n">
        <f aca="false">IF(D114&gt;0,MIN(1,D125/D114),0)</f>
        <v>0.170869980307099</v>
      </c>
      <c r="E126" s="16" t="n">
        <f aca="false">IF(E114&gt;0,MIN(1,E125/E114),0)</f>
        <v>0.244128</v>
      </c>
      <c r="F126" s="16" t="n">
        <f aca="false">IF(F114&gt;0,MIN(1,F125/F114),0)</f>
        <v>0.244128</v>
      </c>
      <c r="G126" s="16" t="n">
        <f aca="false">IF(G114&gt;0,MIN(1,G125/G114),0)</f>
        <v>0.244128</v>
      </c>
    </row>
    <row r="127" customFormat="false" ht="15" hidden="false" customHeight="true" outlineLevel="0" collapsed="false">
      <c r="A127" s="13" t="s">
        <v>606</v>
      </c>
      <c r="C127" s="34" t="n">
        <f aca="false">C109+C111-C125</f>
        <v>4068.13070740054</v>
      </c>
      <c r="D127" s="34" t="n">
        <f aca="false">D109+D111-D125</f>
        <v>13668.348745638</v>
      </c>
      <c r="E127" s="34" t="n">
        <f aca="false">E109+E111-E125</f>
        <v>26467.4192328591</v>
      </c>
      <c r="F127" s="34" t="n">
        <f aca="false">F109+F111-F125</f>
        <v>45280.8936983378</v>
      </c>
      <c r="G127" s="34" t="n">
        <f aca="false">G109+G111-G125</f>
        <v>65021.3322250284</v>
      </c>
    </row>
    <row r="128" customFormat="false" ht="15" hidden="false" customHeight="true" outlineLevel="0" collapsed="false">
      <c r="A128" s="13" t="s">
        <v>607</v>
      </c>
      <c r="C128" s="34" t="n">
        <f aca="false">C12+C20</f>
        <v>8451.61981826049</v>
      </c>
      <c r="D128" s="34" t="n">
        <f aca="false">D12+D20</f>
        <v>9761.04</v>
      </c>
      <c r="E128" s="34" t="n">
        <f aca="false">E12+E20</f>
        <v>13448.544</v>
      </c>
      <c r="F128" s="34" t="n">
        <f aca="false">F12+F20</f>
        <v>15886.0926</v>
      </c>
      <c r="G128" s="34" t="n">
        <f aca="false">G12+G20</f>
        <v>17020.8135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10892.910525661</v>
      </c>
      <c r="D131" s="36" t="n">
        <f aca="false">D109+D128+D108+D111-D125-D107+D129+D130</f>
        <v>19896.326089638</v>
      </c>
      <c r="E131" s="36" t="n">
        <f aca="false">E109+E128+E108+E111-E125-E107+E129+E130</f>
        <v>33772.3646568591</v>
      </c>
      <c r="F131" s="36" t="n">
        <f aca="false">F109+F128+F108+F111-F125-F107+F129+F130</f>
        <v>53912.2017743378</v>
      </c>
      <c r="G131" s="36" t="n">
        <f aca="false">G109+G128+G108+G111-G125-G107+G129+G130</f>
        <v>74276.7367960284</v>
      </c>
    </row>
    <row r="132" customFormat="false" ht="15" hidden="false" customHeight="true" outlineLevel="0" collapsed="false">
      <c r="A132" s="10" t="s">
        <v>611</v>
      </c>
      <c r="C132" s="36" t="n">
        <f aca="false">C109+C108-(C125-C111*C126)-C107+C129+C130</f>
        <v>-85.4829206794611</v>
      </c>
      <c r="D132" s="36" t="n">
        <f aca="false">D109+D108-(D125-D111*D126)-D107+D129+D130</f>
        <v>7226.74129170281</v>
      </c>
      <c r="E132" s="36" t="n">
        <f aca="false">E109+E108-(E125-E111*E126)-E107+E129+E130</f>
        <v>17296.2842703871</v>
      </c>
      <c r="F132" s="36" t="n">
        <f aca="false">F109+F108-(F125-F111*F126)-F107+F129+F130</f>
        <v>34360.3831674181</v>
      </c>
      <c r="G132" s="36" t="n">
        <f aca="false">G109+G108-(G125-G111*G126)-G107+G129+G130</f>
        <v>52571.4291946194</v>
      </c>
    </row>
    <row r="133" customFormat="false" ht="15" hidden="false" customHeight="true" outlineLevel="0" collapsed="false">
      <c r="A133" s="13" t="s">
        <v>612</v>
      </c>
      <c r="C133" s="16" t="n">
        <f aca="false">IFERROR(C132/C105,0)</f>
        <v>-0.00157636130190052</v>
      </c>
      <c r="D133" s="16" t="n">
        <f aca="false">IFERROR(D132/D105,0)</f>
        <v>0.0654547467313555</v>
      </c>
      <c r="E133" s="16" t="n">
        <f aca="false">IFERROR(E132/E105,0)</f>
        <v>0.0984580528647702</v>
      </c>
      <c r="F133" s="16" t="n">
        <f aca="false">IFERROR(F132/F105,0)</f>
        <v>0.138903263831475</v>
      </c>
      <c r="G133" s="16" t="n">
        <f aca="false">IFERROR(G132/G105,0)</f>
        <v>0.163276942617512</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140317.910525661</v>
      </c>
      <c r="E136" s="34" t="n">
        <f aca="false">D141</f>
        <v>160214.236615299</v>
      </c>
      <c r="F136" s="34" t="n">
        <f aca="false">E141</f>
        <v>193986.601272158</v>
      </c>
      <c r="G136" s="34" t="n">
        <f aca="false">F141</f>
        <v>247898.803046496</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8666.91052566103</v>
      </c>
      <c r="D138" s="34" t="n">
        <f aca="false">D131</f>
        <v>19896.326089638</v>
      </c>
      <c r="E138" s="34" t="n">
        <f aca="false">E131</f>
        <v>33772.3646568591</v>
      </c>
      <c r="F138" s="34" t="n">
        <f aca="false">F131</f>
        <v>53912.2017743378</v>
      </c>
      <c r="G138" s="34" t="n">
        <f aca="false">G131</f>
        <v>74276.7367960284</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140317.910525661</v>
      </c>
      <c r="D141" s="36" t="n">
        <f aca="false">D136+D138+D139+D140</f>
        <v>160214.236615299</v>
      </c>
      <c r="E141" s="36" t="n">
        <f aca="false">E136+E138+E139+E140</f>
        <v>193986.601272158</v>
      </c>
      <c r="F141" s="36" t="n">
        <f aca="false">F136+F138+F139+F140</f>
        <v>247898.803046496</v>
      </c>
      <c r="G141" s="36" t="n">
        <f aca="false">G136+G138+G139+G140</f>
        <v>322175.539842524</v>
      </c>
    </row>
    <row r="142" customFormat="false" ht="15" hidden="false" customHeight="true" outlineLevel="0" collapsed="false">
      <c r="A142" s="13" t="s">
        <v>622</v>
      </c>
      <c r="C142" s="34" t="n">
        <f aca="false">MIN(C136-C137,C141)</f>
        <v>131651</v>
      </c>
      <c r="D142" s="34" t="n">
        <f aca="false">MIN(D136-D137,D141)</f>
        <v>140317.910525661</v>
      </c>
      <c r="E142" s="34" t="n">
        <f aca="false">MIN(E136-E137,E141)</f>
        <v>160214.236615299</v>
      </c>
      <c r="F142" s="34" t="n">
        <f aca="false">MIN(F136-F137,F141)</f>
        <v>193986.601272158</v>
      </c>
      <c r="G142" s="34" t="n">
        <f aca="false">MIN(G136-G137,G141)</f>
        <v>247898.803046496</v>
      </c>
    </row>
    <row r="143" customFormat="false" ht="15" hidden="false" customHeight="true" outlineLevel="0" collapsed="false">
      <c r="A143" s="13" t="s">
        <v>623</v>
      </c>
      <c r="C143" s="34" t="n">
        <f aca="false">C142-Inputs!$B$29</f>
        <v>126651</v>
      </c>
      <c r="D143" s="34" t="n">
        <f aca="false">D142-Inputs!$B$29</f>
        <v>135317.910525661</v>
      </c>
      <c r="E143" s="34" t="n">
        <f aca="false">E142-Inputs!$B$29</f>
        <v>155214.236615299</v>
      </c>
      <c r="F143" s="34" t="n">
        <f aca="false">F142-Inputs!$B$29</f>
        <v>188986.601272158</v>
      </c>
      <c r="G143" s="34" t="n">
        <f aca="false">G142-Inputs!$B$29</f>
        <v>242898.803046496</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140317.910525661</v>
      </c>
      <c r="D156" s="34" t="n">
        <f aca="false">D141+SUM($C153:D153)+SUM($C154:D154)-SUM($C155:D155)</f>
        <v>160214.236615299</v>
      </c>
      <c r="E156" s="34" t="n">
        <f aca="false">E141+SUM($C153:E153)+SUM($C154:E154)-SUM($C155:E155)</f>
        <v>193986.601272158</v>
      </c>
      <c r="F156" s="34" t="n">
        <f aca="false">F141+SUM($C153:F153)+SUM($C154:F154)-SUM($C155:F155)</f>
        <v>247898.803046496</v>
      </c>
      <c r="G156" s="34" t="n">
        <f aca="false">G141+SUM($C153:G153)+SUM($C154:G154)-SUM($C155:G155)</f>
        <v>322175.539842524</v>
      </c>
    </row>
    <row r="157" customFormat="false" ht="15" hidden="false" customHeight="true" outlineLevel="0" collapsed="false">
      <c r="A157" s="13" t="s">
        <v>637</v>
      </c>
      <c r="C157" s="34" t="n">
        <f aca="false">MIN(C136-C137+0+C153,C156)</f>
        <v>131651</v>
      </c>
      <c r="D157" s="34" t="n">
        <f aca="false">MIN(D136-D137+SUM($C153:C153)+SUM($C154:C154)-SUM($C155:C155)+D153,D156)</f>
        <v>140317.910525661</v>
      </c>
      <c r="E157" s="34" t="n">
        <f aca="false">MIN(E136-E137+SUM($C153:D153)+SUM($C154:D154)-SUM($C155:D155)+E153,E156)</f>
        <v>160214.236615299</v>
      </c>
      <c r="F157" s="34" t="n">
        <f aca="false">MIN(F136-F137+SUM($C153:E153)+SUM($C154:E154)-SUM($C155:E155)+F153,F156)</f>
        <v>193986.601272158</v>
      </c>
      <c r="G157" s="34" t="n">
        <f aca="false">MIN(G136-G137+SUM($C153:F153)+SUM($C154:F154)-SUM($C155:F155)+G153,G156)</f>
        <v>247898.803046496</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Inputs!$B$19+Inputs!$H$89</f>
        <v>0.12</v>
      </c>
      <c r="G162" s="16" t="n">
        <f aca="false">Inputs!$B$19+Inputs!$H$89</f>
        <v>0.12</v>
      </c>
    </row>
    <row r="163" customFormat="false" ht="15" hidden="false" customHeight="true" outlineLevel="0" collapsed="false">
      <c r="A163" s="13" t="s">
        <v>642</v>
      </c>
      <c r="F163" s="34" t="n">
        <f aca="false">G53*(1-G70)</f>
        <v>49270.6843150605</v>
      </c>
      <c r="G163" s="34" t="n">
        <f aca="false">G109*(1-G126)</f>
        <v>60336.8381236194</v>
      </c>
    </row>
    <row r="164" customFormat="false" ht="15" hidden="false" customHeight="true" outlineLevel="0" collapsed="false">
      <c r="A164" s="13" t="s">
        <v>643</v>
      </c>
      <c r="F164" s="53" t="n">
        <f aca="false">Inputs!$H$87</f>
        <v>30</v>
      </c>
      <c r="G164" s="53" t="n">
        <f aca="false">Inputs!$H$87</f>
        <v>30</v>
      </c>
    </row>
    <row r="165" customFormat="false" ht="15" hidden="false" customHeight="true" outlineLevel="0" collapsed="false">
      <c r="A165" s="13" t="s">
        <v>644</v>
      </c>
      <c r="F165" s="34" t="n">
        <f aca="false">F163*F164</f>
        <v>1478120.52945182</v>
      </c>
      <c r="G165" s="34" t="n">
        <f aca="false">G163*G164</f>
        <v>1810105.14370858</v>
      </c>
    </row>
    <row r="166" customFormat="false" ht="15" hidden="false" customHeight="true" outlineLevel="0" collapsed="false">
      <c r="A166" s="13" t="s">
        <v>645</v>
      </c>
      <c r="F166" s="34" t="n">
        <f aca="false">F165*$G$21</f>
        <v>939372.318527949</v>
      </c>
      <c r="G166" s="34" t="n">
        <f aca="false">G165*$G$21</f>
        <v>1150354.54264038</v>
      </c>
    </row>
    <row r="167" customFormat="false" ht="15" hidden="false" customHeight="true" outlineLevel="0" collapsed="false">
      <c r="A167" s="13" t="s">
        <v>646</v>
      </c>
      <c r="F167" s="34" t="n">
        <f aca="false">SUMPRODUCT(D76:G76,$D$21:$G$21)-F162*SUMPRODUCT(D81:G81,$D$21:$G$21)</f>
        <v>66129.6007193818</v>
      </c>
      <c r="G167" s="34" t="n">
        <f aca="false">SUMPRODUCT(D132:G132,$D$21:$G$21)-G162*SUMPRODUCT(D137:G137,$D$21:$G$21)</f>
        <v>78108.0752132408</v>
      </c>
    </row>
    <row r="168" customFormat="false" ht="15" hidden="false" customHeight="true" outlineLevel="0" collapsed="false">
      <c r="A168" s="13" t="s">
        <v>647</v>
      </c>
      <c r="F168" s="34" t="n">
        <f aca="false">F166+F167</f>
        <v>1005501.91924733</v>
      </c>
      <c r="G168" s="34" t="n">
        <f aca="false">G166+G167</f>
        <v>1228462.61785362</v>
      </c>
    </row>
    <row r="169" customFormat="false" ht="15" hidden="false" customHeight="true" outlineLevel="0" collapsed="false">
      <c r="A169" s="13" t="s">
        <v>648</v>
      </c>
      <c r="F169" s="34" t="n">
        <f aca="false">(G76-G74)*Inputs!$H$88*$G$21</f>
        <v>760566.255264691</v>
      </c>
      <c r="G169" s="34" t="n">
        <f aca="false">(G132-G130)*Inputs!$H$88*$G$21</f>
        <v>935482.622501284</v>
      </c>
    </row>
    <row r="170" customFormat="false" ht="15" hidden="false" customHeight="true" outlineLevel="0" collapsed="false">
      <c r="A170" s="13" t="s">
        <v>649</v>
      </c>
      <c r="F170" s="34" t="n">
        <f aca="false">F167+F169</f>
        <v>826695.855984073</v>
      </c>
      <c r="G170" s="34" t="n">
        <f aca="false">G167+G169</f>
        <v>1013590.69771452</v>
      </c>
    </row>
    <row r="171" customFormat="false" ht="15" hidden="false" customHeight="true" outlineLevel="0" collapsed="false">
      <c r="A171" s="13" t="s">
        <v>650</v>
      </c>
      <c r="F171" s="34" t="n">
        <f aca="false">F168*Inputs!$B$21+F170*(1-Inputs!$B$21)</f>
        <v>916098.887615702</v>
      </c>
      <c r="G171" s="34" t="n">
        <f aca="false">G168*Inputs!$B$21+G170*(1-Inputs!$B$21)</f>
        <v>1121026.65778407</v>
      </c>
    </row>
    <row r="172" customFormat="false" ht="15" hidden="false" customHeight="true" outlineLevel="0" collapsed="false">
      <c r="A172" s="13" t="s">
        <v>651</v>
      </c>
      <c r="F172" s="16" t="n">
        <f aca="false">IFERROR(F166/F168,0)</f>
        <v>0.934232248140428</v>
      </c>
      <c r="G172" s="16" t="n">
        <f aca="false">IFERROR(G166/G168,0)</f>
        <v>0.936418028454368</v>
      </c>
    </row>
    <row r="173" customFormat="false" ht="15" hidden="false" customHeight="true" outlineLevel="0" collapsed="false">
      <c r="A173" s="13" t="s">
        <v>652</v>
      </c>
      <c r="F173" s="16" t="n">
        <f aca="false">IFERROR(F169/F170,0)</f>
        <v>0.9200073397723</v>
      </c>
      <c r="G173" s="16" t="n">
        <f aca="false">IFERROR(G169/G170,0)</f>
        <v>0.922939234358246</v>
      </c>
    </row>
    <row r="174" customFormat="false" ht="15" hidden="false" customHeight="true" outlineLevel="0" collapsed="false">
      <c r="A174" s="13" t="s">
        <v>653</v>
      </c>
      <c r="F174" s="34" t="n">
        <f aca="false">C85</f>
        <v>140317.910525661</v>
      </c>
      <c r="G174" s="34" t="n">
        <f aca="false">C141</f>
        <v>140317.910525661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1056416.79814136</v>
      </c>
      <c r="G176" s="35" t="n">
        <f aca="false">G171+G174+G175</f>
        <v>1261344.56830973</v>
      </c>
    </row>
    <row r="177" customFormat="false" ht="15" hidden="false" customHeight="true" outlineLevel="0" collapsed="false">
      <c r="A177" s="13" t="s">
        <v>656</v>
      </c>
      <c r="F177" s="34" t="n">
        <f aca="false">IF(F182="OK",F176,"unresolved")</f>
        <v>1056416.79814136</v>
      </c>
      <c r="G177" s="34" t="n">
        <f aca="false">IF(G182="OK",G176,"unresolved")</f>
        <v>1261344.56830973</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59.0089287681235</v>
      </c>
      <c r="G179" s="25" t="n">
        <f aca="false">IF(G182="OK",G176/G178,"n/a")</f>
        <v>70.4557064166342</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No raise needed</v>
      </c>
      <c r="G183" s="29" t="str">
        <f aca="false">IF(G182&lt;&gt;"OK",G182,IF(G180&gt;0,"Raise needed by 2030",IF(ISNUMBER(G181),"Cash-negative in 2030; runway "&amp;TEXT(G181,"0.0")&amp;" yrs","No raise needed")))</f>
        <v>No raise needed</v>
      </c>
    </row>
    <row r="184" customFormat="false" ht="15" hidden="false" customHeight="true" outlineLevel="0" collapsed="false">
      <c r="A184" s="13" t="s">
        <v>663</v>
      </c>
      <c r="F184" s="25" t="n">
        <f aca="false">IF(NOT(ISNUMBER(F179)),"unresolved",IF(F180=0,F179,(F176+F180/(1+F162)^IF(ISNUMBER(G93),MAX(0,G93-2027),0))/(F178+(F180/(1-Inputs!$B$31))/(F179*(1+F162)^IF(ISNUMBER(G93),MAX(0,G93-2027),0)*(1-0)))))</f>
        <v>59.0089287681235</v>
      </c>
      <c r="G184" s="25" t="n">
        <f aca="false">IF(NOT(ISNUMBER(G179)),"unresolved",IF(G180=0,G179,(G176+G180/(1+G162)^IF(ISNUMBER(G149),MAX(0,G149-2027),0))/(G178+(G180/(1-Inputs!$B$31))/(G179*(1+G162)^IF(ISNUMBER(G149),MAX(0,G149-2027),0)*(1-0)))))</f>
        <v>70.4557064166342</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59.0089287681235</v>
      </c>
      <c r="G185" s="25" t="n">
        <f aca="false">IF(NOT(ISNUMBER(G179)),"unresolved",IF(G180=0,G179,(G176+G180/(1+G162)^IF(ISNUMBER(G149),MAX(0,G149-2027),0))/(G178+(G180/(1-Inputs!$B$31))/(G179*(1+G162)^IF(ISNUMBER(G149),MAX(0,G149-2027),0)*(1-Inputs!$B$30)))))</f>
        <v>70.4557064166342</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59.0089287681235</v>
      </c>
      <c r="G186" s="25" t="n">
        <f aca="false">IF(NOT(ISNUMBER(G179)),"unresolved",IF(G180=0,G179,(G176+G180/(1+G162)^IF(ISNUMBER(G149),MAX(0,G149-2027),0))/(G178+(G180/(1-Inputs!$B$31))/(G179*(1+G162)^IF(ISNUMBER(G149),MAX(0,G149-2027),0)*(1-0.3)))))</f>
        <v>70.4557064166342</v>
      </c>
    </row>
    <row r="187" customFormat="false" ht="15" hidden="false" customHeight="true" outlineLevel="0" collapsed="false">
      <c r="A187" s="13" t="s">
        <v>666</v>
      </c>
      <c r="F187" s="25" t="n">
        <f aca="false">F185</f>
        <v>59.0089287681235</v>
      </c>
      <c r="G187" s="25" t="n">
        <f aca="false">G185</f>
        <v>70.4557064166342</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n">
        <f aca="false">IF(ISNUMBER(F187),F187/(1+Inputs!$B$25)^F188,"unresolved")</f>
        <v>59.0089287681235</v>
      </c>
      <c r="G189" s="12" t="n">
        <f aca="false">IF(ISNUMBER(G187),G187/(1+Inputs!$B$25)^G188,"unresolved")</f>
        <v>70.4557064166342</v>
      </c>
    </row>
    <row r="190" customFormat="false" ht="15" hidden="false" customHeight="true" outlineLevel="0" collapsed="false">
      <c r="A190" s="13" t="s">
        <v>669</v>
      </c>
      <c r="F190" s="25" t="n">
        <f aca="false">IF(F180=0,F189,"unresolved")</f>
        <v>59.0089287681235</v>
      </c>
      <c r="G190" s="25" t="n">
        <f aca="false">IF(G180=0,G189,"unresolved")</f>
        <v>70.4557064166342</v>
      </c>
    </row>
    <row r="191" customFormat="false" ht="15" hidden="false" customHeight="true" outlineLevel="0" collapsed="false">
      <c r="A191" s="13" t="s">
        <v>670</v>
      </c>
      <c r="F191" s="34" t="n">
        <f aca="false">IF(ISNUMBER(F179),F176+F180/(1+F162)^IF(ISNUMBER(G93),MAX(0,G93-2027),0),"unresolved")</f>
        <v>1056416.79814136</v>
      </c>
      <c r="G191" s="34" t="n">
        <f aca="false">IF(ISNUMBER(G179),G176+G180/(1+G162)^IF(ISNUMBER(G149),MAX(0,G149-2027),0),"unresolved")</f>
        <v>1261344.56830973</v>
      </c>
    </row>
    <row r="192" customFormat="false" ht="15" hidden="false" customHeight="true" outlineLevel="0" collapsed="false">
      <c r="A192" s="13" t="s">
        <v>671</v>
      </c>
      <c r="F192" s="28" t="n">
        <f aca="false">IFERROR(F191/D49,"n/a")</f>
        <v>9.74051042027516</v>
      </c>
      <c r="G192" s="28" t="n">
        <f aca="false">IFERROR(G191/D105,"n/a")</f>
        <v>11.4243731617285</v>
      </c>
    </row>
    <row r="193" customFormat="false" ht="15" hidden="false" customHeight="true" outlineLevel="0" collapsed="false">
      <c r="A193" s="13" t="s">
        <v>672</v>
      </c>
      <c r="F193" s="25" t="n">
        <f aca="false">(F168+F174)/F178</f>
        <v>64.0027693947463</v>
      </c>
      <c r="G193" s="25" t="n">
        <f aca="false">(G168+G174)/G178</f>
        <v>76.4568235193088</v>
      </c>
    </row>
    <row r="194" customFormat="false" ht="15" hidden="false" customHeight="true" outlineLevel="0" collapsed="false">
      <c r="A194" s="13" t="s">
        <v>673</v>
      </c>
      <c r="F194" s="25" t="n">
        <f aca="false">(F170+F174)/F178</f>
        <v>54.0150881415008</v>
      </c>
      <c r="G194" s="25" t="n">
        <f aca="false">(G170+G174)/G178</f>
        <v>64.4545893139596</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682</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Historicals!F35+(Inputs!$B$5+Inputs!$I$60)</f>
        <v>54228</v>
      </c>
      <c r="D5" s="34" t="n">
        <f aca="false">C5*(1+Inputs!$I$62)</f>
        <v>81342</v>
      </c>
      <c r="E5" s="34" t="n">
        <f aca="false">D5*(1+Inputs!$I$63)</f>
        <v>103711.05</v>
      </c>
      <c r="F5" s="34" t="n">
        <f aca="false">E5*(1+Inputs!$I$64)</f>
        <v>121860.48375</v>
      </c>
      <c r="G5" s="34" t="n">
        <f aca="false">F5*(1+Inputs!$I$65)</f>
        <v>137093.04421875</v>
      </c>
    </row>
    <row r="6" customFormat="false" ht="15" hidden="false" customHeight="true" outlineLevel="0" collapsed="false">
      <c r="A6" s="13" t="s">
        <v>551</v>
      </c>
      <c r="C6" s="16" t="n">
        <f aca="false">IFERROR(C5/B5-1,0)</f>
        <v>10.8272628135224</v>
      </c>
      <c r="D6" s="16" t="n">
        <f aca="false">IFERROR(D5/C5-1,0)</f>
        <v>0.5</v>
      </c>
      <c r="E6" s="16" t="n">
        <f aca="false">IFERROR(E5/D5-1,0)</f>
        <v>0.275</v>
      </c>
      <c r="F6" s="16" t="n">
        <f aca="false">IFERROR(F5/E5-1,0)</f>
        <v>0.175</v>
      </c>
      <c r="G6" s="16" t="n">
        <f aca="false">IFERROR(G5/F5-1,0)</f>
        <v>0.125</v>
      </c>
    </row>
    <row r="7" customFormat="false" ht="15" hidden="false" customHeight="true" outlineLevel="0" collapsed="false">
      <c r="A7" s="13" t="s">
        <v>552</v>
      </c>
      <c r="B7" s="41" t="n">
        <f aca="false">Historicals!D51</f>
        <v>789</v>
      </c>
      <c r="C7" s="34" t="n">
        <f aca="false">Historicals!F51+(Inputs!$B$5+Inputs!$I$60)*Historicals!F51/Historicals!F35</f>
        <v>10728.3934667813</v>
      </c>
      <c r="D7" s="34" t="n">
        <f aca="false">D5*Inputs!$I$61</f>
        <v>16268.4</v>
      </c>
      <c r="E7" s="34" t="n">
        <f aca="false">E5*Inputs!$I$61</f>
        <v>20742.21</v>
      </c>
      <c r="F7" s="34" t="n">
        <f aca="false">F5*Inputs!$I$61</f>
        <v>24372.09675</v>
      </c>
      <c r="G7" s="34" t="n">
        <f aca="false">G5*Inputs!$I$61</f>
        <v>27418.60884375</v>
      </c>
    </row>
    <row r="8" customFormat="false" ht="15" hidden="false" customHeight="true" outlineLevel="0" collapsed="false">
      <c r="A8" s="13" t="s">
        <v>553</v>
      </c>
      <c r="B8" s="34" t="n">
        <f aca="false">B5-B7</f>
        <v>3796</v>
      </c>
      <c r="C8" s="34" t="n">
        <f aca="false">C5-C7</f>
        <v>43499.6065332187</v>
      </c>
      <c r="D8" s="34" t="n">
        <f aca="false">D5-D7</f>
        <v>65073.6</v>
      </c>
      <c r="E8" s="34" t="n">
        <f aca="false">E5-E7</f>
        <v>82968.84</v>
      </c>
      <c r="F8" s="34" t="n">
        <f aca="false">F5-F7</f>
        <v>97488.387</v>
      </c>
      <c r="G8" s="34" t="n">
        <f aca="false">G5-G7</f>
        <v>109674.435375</v>
      </c>
    </row>
    <row r="10" customFormat="false" ht="15" hidden="false" customHeight="true" outlineLevel="0" collapsed="false">
      <c r="A10" s="13" t="s">
        <v>250</v>
      </c>
      <c r="B10" s="41" t="n">
        <f aca="false">Historicals!D36</f>
        <v>7326</v>
      </c>
      <c r="C10" s="34" t="n">
        <f aca="false">Historicals!F36+(Inputs!$B$5+Inputs!$I$60)*Inputs!$I$66</f>
        <v>26018.9</v>
      </c>
      <c r="D10" s="34" t="n">
        <f aca="false">C10*(1+Inputs!$I$67)</f>
        <v>44232.13</v>
      </c>
      <c r="E10" s="34" t="n">
        <f aca="false">D10*(1+Inputs!$I$68)</f>
        <v>64136.5885</v>
      </c>
      <c r="F10" s="34" t="n">
        <f aca="false">E10*(1+Inputs!$I$69)</f>
        <v>83377.56505</v>
      </c>
      <c r="G10" s="34" t="n">
        <f aca="false">F10*(1+Inputs!$I$70)</f>
        <v>100053.07806</v>
      </c>
    </row>
    <row r="11" customFormat="false" ht="15" hidden="false" customHeight="true" outlineLevel="0" collapsed="false">
      <c r="A11" s="13" t="s">
        <v>251</v>
      </c>
      <c r="B11" s="41" t="n">
        <f aca="false">Historicals!D37</f>
        <v>1839</v>
      </c>
      <c r="C11" s="34" t="n">
        <f aca="false">Historicals!F37+(Inputs!$B$5+Inputs!$I$60)*Historicals!G24</f>
        <v>9249.6455214193</v>
      </c>
      <c r="D11" s="34" t="n">
        <f aca="false">D5*Inputs!$I$71</f>
        <v>11387.88</v>
      </c>
      <c r="E11" s="34" t="n">
        <f aca="false">E5*Inputs!$I$72</f>
        <v>13482.4365</v>
      </c>
      <c r="F11" s="34" t="n">
        <f aca="false">F5*Inputs!$I$73</f>
        <v>14623.25805</v>
      </c>
      <c r="G11" s="34" t="n">
        <f aca="false">G5*Inputs!$I$74</f>
        <v>15080.2348640625</v>
      </c>
    </row>
    <row r="12" customFormat="false" ht="15" hidden="false" customHeight="true" outlineLevel="0" collapsed="false">
      <c r="A12" s="13" t="s">
        <v>554</v>
      </c>
      <c r="B12" s="41" t="n">
        <f aca="false">Historicals!D49</f>
        <v>1158</v>
      </c>
      <c r="C12" s="34" t="n">
        <f aca="false">Historicals!F49+(Inputs!$B$5+Inputs!$I$60)*Historicals!G29</f>
        <v>6325.61981826049</v>
      </c>
      <c r="D12" s="34" t="n">
        <f aca="false">D5*Inputs!$I$75</f>
        <v>7320.78</v>
      </c>
      <c r="E12" s="34" t="n">
        <f aca="false">E5*Inputs!$I$76</f>
        <v>8296.884</v>
      </c>
      <c r="F12" s="34" t="n">
        <f aca="false">F5*Inputs!$I$77</f>
        <v>8530.2338625</v>
      </c>
      <c r="G12" s="34" t="n">
        <f aca="false">G5*Inputs!$I$78</f>
        <v>8225.582653125</v>
      </c>
    </row>
    <row r="13" customFormat="false" ht="15" hidden="false" customHeight="true" outlineLevel="0" collapsed="false">
      <c r="A13" s="13" t="s">
        <v>555</v>
      </c>
      <c r="B13" s="41" t="n">
        <f aca="false">Historicals!D39</f>
        <v>568</v>
      </c>
      <c r="C13" s="34" t="n">
        <f aca="false">Historicals!F39+(Inputs!$B$5+Inputs!$I$60)*Historicals!G25</f>
        <v>10178.486369537</v>
      </c>
      <c r="D13" s="34" t="n">
        <f aca="false">D5*Inputs!$I$79</f>
        <v>13828.14</v>
      </c>
      <c r="E13" s="34" t="n">
        <f aca="false">E5*Inputs!$I$80</f>
        <v>16593.768</v>
      </c>
      <c r="F13" s="34" t="n">
        <f aca="false">F5*Inputs!$I$81</f>
        <v>18279.0725625</v>
      </c>
      <c r="G13" s="34" t="n">
        <f aca="false">G5*Inputs!$I$82</f>
        <v>20563.9566328125</v>
      </c>
    </row>
    <row r="14" customFormat="false" ht="15" hidden="false" customHeight="true" outlineLevel="0" collapsed="false">
      <c r="A14" s="13" t="s">
        <v>556</v>
      </c>
      <c r="B14" s="41" t="n">
        <f aca="false">Historicals!D40</f>
        <v>1412</v>
      </c>
      <c r="C14" s="34" t="n">
        <f aca="false">Historicals!F40+(Inputs!$B$5+Inputs!$I$60)*Historicals!G26</f>
        <v>5099.39177845089</v>
      </c>
      <c r="D14" s="34" t="n">
        <f aca="false">D5*Inputs!$I$83</f>
        <v>6507.36</v>
      </c>
      <c r="E14" s="34" t="n">
        <f aca="false">E5*Inputs!$I$84</f>
        <v>7259.7735</v>
      </c>
      <c r="F14" s="34" t="n">
        <f aca="false">F5*Inputs!$I$85</f>
        <v>7311.629025</v>
      </c>
      <c r="G14" s="34" t="n">
        <f aca="false">G5*Inputs!$I$86</f>
        <v>8225.582653125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75955.51</v>
      </c>
      <c r="E16" s="36" t="n">
        <f aca="false">E10+E11+E13+E14+E15</f>
        <v>101472.5665</v>
      </c>
      <c r="F16" s="36" t="n">
        <f aca="false">F10+F11+F13+F14+F15</f>
        <v>123591.5246875</v>
      </c>
      <c r="G16" s="36" t="n">
        <f aca="false">G10+G11+G13+G14+G15</f>
        <v>143922.85221</v>
      </c>
    </row>
    <row r="17" customFormat="false" ht="15" hidden="false" customHeight="true" outlineLevel="0" collapsed="false">
      <c r="A17" s="10" t="s">
        <v>558</v>
      </c>
      <c r="B17" s="35" t="n">
        <f aca="false">B5-B16</f>
        <v>-8060</v>
      </c>
      <c r="C17" s="35" t="n">
        <f aca="false">C5-C16</f>
        <v>1681.57633059282</v>
      </c>
      <c r="D17" s="35" t="n">
        <f aca="false">D5-D16</f>
        <v>5386.48999999999</v>
      </c>
      <c r="E17" s="35" t="n">
        <f aca="false">E5-E16</f>
        <v>2238.48349999999</v>
      </c>
      <c r="F17" s="35" t="n">
        <f aca="false">F5-F16</f>
        <v>-1731.04093750002</v>
      </c>
      <c r="G17" s="35" t="n">
        <f aca="false">G5-G16</f>
        <v>-6829.80799125001</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0.0662202798062501</v>
      </c>
      <c r="E18" s="16" t="n">
        <f aca="false">IFERROR(E17/E5,0)</f>
        <v>0.0215838476227942</v>
      </c>
      <c r="F18" s="16" t="n">
        <f aca="false">IFERROR(F17/F5,0)</f>
        <v>-0.0142051047577596</v>
      </c>
      <c r="G18" s="16" t="n">
        <f aca="false">IFERROR(G17/G5,0)</f>
        <v>-0.0498187784082769</v>
      </c>
    </row>
    <row r="19" customFormat="false" ht="15" hidden="false" customHeight="true" outlineLevel="0" collapsed="false">
      <c r="A19" s="13" t="s">
        <v>560</v>
      </c>
      <c r="B19" s="16" t="n">
        <f aca="false">IFERROR(B10/B5,0)</f>
        <v>1.59781897491821</v>
      </c>
      <c r="C19" s="16" t="n">
        <f aca="false">IFERROR(C10/C5,0)</f>
        <v>0.479805635465073</v>
      </c>
      <c r="D19" s="16" t="n">
        <f aca="false">IFERROR(D10/D5,0)</f>
        <v>0.54377972019375</v>
      </c>
      <c r="E19" s="16" t="n">
        <f aca="false">IFERROR(E10/E5,0)</f>
        <v>0.618416152377206</v>
      </c>
      <c r="F19" s="16" t="n">
        <f aca="false">IFERROR(F10/F5,0)</f>
        <v>0.68420510475776</v>
      </c>
      <c r="G19" s="16" t="n">
        <f aca="false">IFERROR(G10/G5,0)</f>
        <v>0.729818778408277</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1/(1+Inputs!$B$19+Inputs!$I$89)^1</f>
        <v>0.892857142857143</v>
      </c>
      <c r="E21" s="52" t="n">
        <f aca="false">1/(1+Inputs!$B$19+Inputs!$I$89)^2</f>
        <v>0.79719387755102</v>
      </c>
      <c r="F21" s="52" t="n">
        <f aca="false">1/(1+Inputs!$B$19+Inputs!$I$89)^3</f>
        <v>0.711780247813411</v>
      </c>
      <c r="G21" s="52" t="n">
        <f aca="false">1/(1+Inputs!$B$19+Inputs!$I$89)^4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1626.84</v>
      </c>
      <c r="E25" s="34" t="n">
        <f aca="false">E5*E24</f>
        <v>5185.5525</v>
      </c>
      <c r="F25" s="34" t="n">
        <f aca="false">F5*F24</f>
        <v>12186.048375</v>
      </c>
      <c r="G25" s="34" t="n">
        <f aca="false">G5*G24</f>
        <v>20563.9566328125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13014.72</v>
      </c>
      <c r="E27" s="34" t="n">
        <f aca="false">E25*E26</f>
        <v>41484.42</v>
      </c>
      <c r="F27" s="34" t="n">
        <f aca="false">F25*F26</f>
        <v>97488.387</v>
      </c>
      <c r="G27" s="34" t="n">
        <f aca="false">G25*G26</f>
        <v>164511.6530625</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1952.208</v>
      </c>
      <c r="E29" s="36" t="n">
        <f aca="false">E27*E28</f>
        <v>6222.663</v>
      </c>
      <c r="F29" s="36" t="n">
        <f aca="false">F27*F28</f>
        <v>14623.25805</v>
      </c>
      <c r="G29" s="36" t="n">
        <f aca="false">G27*G28</f>
        <v>24676.747959375</v>
      </c>
    </row>
    <row r="30" customFormat="false" ht="15" hidden="false" customHeight="true" outlineLevel="0" collapsed="false">
      <c r="A30" s="13" t="s">
        <v>570</v>
      </c>
      <c r="C30" s="34" t="n">
        <f aca="false">C25*Inputs!$C$103</f>
        <v>0</v>
      </c>
      <c r="D30" s="34" t="n">
        <f aca="false">D25*Inputs!$C$103</f>
        <v>488.052</v>
      </c>
      <c r="E30" s="34" t="n">
        <f aca="false">E25*Inputs!$C$103</f>
        <v>1555.66575</v>
      </c>
      <c r="F30" s="34" t="n">
        <f aca="false">F25*Inputs!$C$103</f>
        <v>3655.8145125</v>
      </c>
      <c r="G30" s="34" t="n">
        <f aca="false">G25*Inputs!$C$103</f>
        <v>6169.18698984375</v>
      </c>
    </row>
    <row r="31" customFormat="false" ht="15" hidden="false" customHeight="true" outlineLevel="0" collapsed="false">
      <c r="A31" s="13" t="s">
        <v>571</v>
      </c>
      <c r="C31" s="34" t="n">
        <f aca="false">C29-C30</f>
        <v>0</v>
      </c>
      <c r="D31" s="34" t="n">
        <f aca="false">D29-D30</f>
        <v>1464.156</v>
      </c>
      <c r="E31" s="34" t="n">
        <f aca="false">E29-E30</f>
        <v>4666.99725</v>
      </c>
      <c r="F31" s="34" t="n">
        <f aca="false">F29-F30</f>
        <v>10967.4435375</v>
      </c>
      <c r="G31" s="34" t="n">
        <f aca="false">G29-G30</f>
        <v>18507.5609695312</v>
      </c>
    </row>
    <row r="32" customFormat="false" ht="15" hidden="false" customHeight="true" outlineLevel="0" collapsed="false">
      <c r="A32" s="13" t="s">
        <v>572</v>
      </c>
      <c r="C32" s="34" t="n">
        <f aca="false">C29*Inputs!$C$104</f>
        <v>0</v>
      </c>
      <c r="D32" s="34" t="n">
        <f aca="false">D29*Inputs!$C$104</f>
        <v>390.4416</v>
      </c>
      <c r="E32" s="34" t="n">
        <f aca="false">E29*Inputs!$C$104</f>
        <v>1244.5326</v>
      </c>
      <c r="F32" s="34" t="n">
        <f aca="false">F29*Inputs!$C$104</f>
        <v>2924.65161</v>
      </c>
      <c r="G32" s="34" t="n">
        <f aca="false">G29*Inputs!$C$104</f>
        <v>4935.349591875</v>
      </c>
    </row>
    <row r="33" customFormat="false" ht="15" hidden="false" customHeight="true" outlineLevel="0" collapsed="false">
      <c r="A33" s="13" t="s">
        <v>573</v>
      </c>
      <c r="C33" s="34" t="n">
        <f aca="false">C29*Inputs!$C$105</f>
        <v>0</v>
      </c>
      <c r="D33" s="34" t="n">
        <f aca="false">D29*Inputs!$C$105</f>
        <v>292.8312</v>
      </c>
      <c r="E33" s="34" t="n">
        <f aca="false">E29*Inputs!$C$105</f>
        <v>933.39945</v>
      </c>
      <c r="F33" s="34" t="n">
        <f aca="false">F29*Inputs!$C$105</f>
        <v>2193.4887075</v>
      </c>
      <c r="G33" s="34" t="n">
        <f aca="false">G29*Inputs!$C$105</f>
        <v>3701.51219390625</v>
      </c>
    </row>
    <row r="34" customFormat="false" ht="15" hidden="false" customHeight="true" outlineLevel="0" collapsed="false">
      <c r="A34" s="13" t="s">
        <v>574</v>
      </c>
      <c r="C34" s="34" t="n">
        <f aca="false">C29*Inputs!$C$106</f>
        <v>0</v>
      </c>
      <c r="D34" s="34" t="n">
        <f aca="false">D29*Inputs!$C$106</f>
        <v>195.2208</v>
      </c>
      <c r="E34" s="34" t="n">
        <f aca="false">E29*Inputs!$C$106</f>
        <v>622.2663</v>
      </c>
      <c r="F34" s="34" t="n">
        <f aca="false">F29*Inputs!$C$106</f>
        <v>1462.325805</v>
      </c>
      <c r="G34" s="34" t="n">
        <f aca="false">G29*Inputs!$C$106</f>
        <v>2467.6747959375</v>
      </c>
    </row>
    <row r="35" customFormat="false" ht="15" hidden="false" customHeight="true" outlineLevel="0" collapsed="false">
      <c r="A35" s="10" t="s">
        <v>575</v>
      </c>
      <c r="C35" s="35" t="n">
        <f aca="false">C29-C30-C32-C33-C34</f>
        <v>0</v>
      </c>
      <c r="D35" s="35" t="n">
        <f aca="false">D29-D30-D32-D33-D34</f>
        <v>585.6624</v>
      </c>
      <c r="E35" s="35" t="n">
        <f aca="false">E29-E30-E32-E33-E34</f>
        <v>1866.7989</v>
      </c>
      <c r="F35" s="35" t="n">
        <f aca="false">F29-F30-F32-F33-F34</f>
        <v>4386.977415</v>
      </c>
      <c r="G35" s="35" t="n">
        <f aca="false">G29-G30-G32-G33-G34</f>
        <v>7403.0243878125</v>
      </c>
    </row>
    <row r="36" customFormat="false" ht="15" hidden="false" customHeight="true" outlineLevel="0" collapsed="false">
      <c r="A36" s="13" t="s">
        <v>91</v>
      </c>
      <c r="C36" s="54" t="n">
        <f aca="false">IFERROR(C27/Inputs!$B$27,0)</f>
        <v>0</v>
      </c>
      <c r="D36" s="54" t="n">
        <f aca="false">IFERROR(D27/Inputs!$B$27,0)</f>
        <v>0.000325368</v>
      </c>
      <c r="E36" s="54" t="n">
        <f aca="false">IFERROR(E27/Inputs!$B$27,0)</f>
        <v>0.0010371105</v>
      </c>
      <c r="F36" s="54" t="n">
        <f aca="false">IFERROR(F27/Inputs!$B$27,0)</f>
        <v>0.002437209675</v>
      </c>
      <c r="G36" s="54" t="n">
        <f aca="false">IFERROR(G27/Inputs!$B$27,0)</f>
        <v>0.0041127913265625</v>
      </c>
    </row>
    <row r="37" customFormat="false" ht="15" hidden="false" customHeight="true" outlineLevel="0" collapsed="false">
      <c r="A37" s="13" t="s">
        <v>576</v>
      </c>
      <c r="C37" s="34" t="n">
        <f aca="false">CHOOSE(Inputs!$B$35,C31*Inputs!B$55,C29*Inputs!$B$36,0)</f>
        <v>0</v>
      </c>
      <c r="D37" s="34" t="n">
        <f aca="false">CHOOSE(Inputs!$B$35,D31*Inputs!C$55,D29*Inputs!$B$36,0)</f>
        <v>58.56624</v>
      </c>
      <c r="E37" s="34" t="n">
        <f aca="false">CHOOSE(Inputs!$B$35,E31*Inputs!D$55,E29*Inputs!$B$36,0)</f>
        <v>233.3498625</v>
      </c>
      <c r="F37" s="34" t="n">
        <f aca="false">CHOOSE(Inputs!$B$35,F31*Inputs!E$55,F29*Inputs!$B$36,0)</f>
        <v>548.372176875</v>
      </c>
      <c r="G37" s="34" t="n">
        <f aca="false">CHOOSE(Inputs!$B$35,G31*Inputs!F$55,G29*Inputs!$B$36,0)</f>
        <v>925.378048476562</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Inputs!$I$92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44232.13</v>
      </c>
      <c r="E44" s="34" t="n">
        <f aca="false">E10*Inputs!$B$39</f>
        <v>64136.5885</v>
      </c>
      <c r="F44" s="34" t="n">
        <f aca="false">F10*Inputs!$B$39</f>
        <v>83377.56505</v>
      </c>
      <c r="G44" s="34" t="n">
        <f aca="false">G10*Inputs!$B$39</f>
        <v>100053.07806</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81342</v>
      </c>
      <c r="E49" s="34" t="n">
        <f aca="false">E5</f>
        <v>103711.05</v>
      </c>
      <c r="F49" s="34" t="n">
        <f aca="false">F5</f>
        <v>121860.48375</v>
      </c>
      <c r="G49" s="34" t="n">
        <f aca="false">G5</f>
        <v>137093.04421875</v>
      </c>
    </row>
    <row r="50" customFormat="false" ht="15" hidden="false" customHeight="true" outlineLevel="0" collapsed="false">
      <c r="A50" s="13" t="s">
        <v>558</v>
      </c>
      <c r="C50" s="34" t="n">
        <f aca="false">C17</f>
        <v>1681.57633059282</v>
      </c>
      <c r="D50" s="34" t="n">
        <f aca="false">D17</f>
        <v>5386.48999999999</v>
      </c>
      <c r="E50" s="34" t="n">
        <f aca="false">E17</f>
        <v>2238.48349999999</v>
      </c>
      <c r="F50" s="34" t="n">
        <f aca="false">F17</f>
        <v>-1731.04093750002</v>
      </c>
      <c r="G50" s="34" t="n">
        <f aca="false">G17</f>
        <v>-6829.80799125001</v>
      </c>
    </row>
    <row r="51" customFormat="false" ht="15" hidden="false" customHeight="true" outlineLevel="0" collapsed="false">
      <c r="A51" s="13" t="s">
        <v>586</v>
      </c>
      <c r="C51" s="34" t="n">
        <f aca="false">C5*Inputs!B$55</f>
        <v>1626.84</v>
      </c>
      <c r="D51" s="34" t="n">
        <f aca="false">D5*Inputs!C$55</f>
        <v>3253.68</v>
      </c>
      <c r="E51" s="34" t="n">
        <f aca="false">E5*Inputs!D$55</f>
        <v>5185.5525</v>
      </c>
      <c r="F51" s="34" t="n">
        <f aca="false">F5*Inputs!E$55</f>
        <v>6093.0241875</v>
      </c>
      <c r="G51" s="34" t="n">
        <f aca="false">G5*Inputs!F$55</f>
        <v>6854.6522109375</v>
      </c>
    </row>
    <row r="52" customFormat="false" ht="15" hidden="false" customHeight="true" outlineLevel="0" collapsed="false">
      <c r="A52" s="13" t="s">
        <v>587</v>
      </c>
      <c r="C52" s="33" t="n">
        <v>0</v>
      </c>
      <c r="D52" s="34" t="n">
        <f aca="false">SUMPRODUCT($D51:D51,--((4-COLUMN($D51:D51))&lt;Inputs!$B$32))/Inputs!$B$32</f>
        <v>650.736</v>
      </c>
      <c r="E52" s="34" t="n">
        <f aca="false">SUMPRODUCT($D51:E51,--((5-COLUMN($D51:E51))&lt;Inputs!$B$32))/Inputs!$B$32</f>
        <v>1687.8465</v>
      </c>
      <c r="F52" s="34" t="n">
        <f aca="false">SUMPRODUCT($D51:F51,--((6-COLUMN($D51:F51))&lt;Inputs!$B$32))/Inputs!$B$32</f>
        <v>2906.4513375</v>
      </c>
      <c r="G52" s="34" t="n">
        <f aca="false">SUMPRODUCT($D51:G51,--((7-COLUMN($D51:G51))&lt;Inputs!$B$32))/Inputs!$B$32</f>
        <v>4277.3817796875</v>
      </c>
    </row>
    <row r="53" customFormat="false" ht="15" hidden="false" customHeight="true" outlineLevel="0" collapsed="false">
      <c r="A53" s="10" t="s">
        <v>588</v>
      </c>
      <c r="C53" s="36" t="n">
        <f aca="false">C50-C52</f>
        <v>1681.57633059282</v>
      </c>
      <c r="D53" s="36" t="n">
        <f aca="false">D50-D52</f>
        <v>4735.75399999999</v>
      </c>
      <c r="E53" s="36" t="n">
        <f aca="false">E50-E52</f>
        <v>550.636999999987</v>
      </c>
      <c r="F53" s="36" t="n">
        <f aca="false">F50-F52</f>
        <v>-4637.49227500002</v>
      </c>
      <c r="G53" s="36" t="n">
        <f aca="false">G50-G52</f>
        <v>-11107.1897709375</v>
      </c>
    </row>
    <row r="54" customFormat="false" ht="15" hidden="false" customHeight="true" outlineLevel="0" collapsed="false">
      <c r="A54" s="13" t="s">
        <v>589</v>
      </c>
      <c r="C54" s="16" t="n">
        <f aca="false">IFERROR(C53/C49,0)</f>
        <v>0.0310093739505942</v>
      </c>
      <c r="D54" s="16" t="n">
        <f aca="false">IFERROR(D53/D49,0)</f>
        <v>0.05822027980625</v>
      </c>
      <c r="E54" s="16" t="n">
        <f aca="false">IFERROR(E53/E49,0)</f>
        <v>0.0053093378188726</v>
      </c>
      <c r="F54" s="16" t="n">
        <f aca="false">IFERROR(F53/F49,0)</f>
        <v>-0.038055751399395</v>
      </c>
      <c r="G54" s="16" t="n">
        <f aca="false">IFERROR(G53/G49,0)</f>
        <v>-0.0810193532008417</v>
      </c>
    </row>
    <row r="55" customFormat="false" ht="15" hidden="false" customHeight="true" outlineLevel="0" collapsed="false">
      <c r="A55" s="13" t="s">
        <v>590</v>
      </c>
      <c r="C55" s="34" t="n">
        <f aca="false">Historicals!F43+C80*Inputs!$B$20/2</f>
        <v>2756.6375</v>
      </c>
      <c r="D55" s="34" t="n">
        <f aca="false">MAX(0,D80-D81)*Inputs!$B$20</f>
        <v>3507.94776314153</v>
      </c>
      <c r="E55" s="34" t="n">
        <f aca="false">MAX(0,E80-E81)*Inputs!$B$20</f>
        <v>3811.86501804819</v>
      </c>
      <c r="F55" s="34" t="n">
        <f aca="false">MAX(0,F80-F81)*Inputs!$B$20</f>
        <v>4014.28179618284</v>
      </c>
      <c r="G55" s="34" t="n">
        <f aca="false">MAX(0,G80-G81)*Inputs!$B$20</f>
        <v>4132.29305952492</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8243.70176314152</v>
      </c>
      <c r="E58" s="34" t="n">
        <f aca="false">E53+E55+E56-E57</f>
        <v>4362.50201804818</v>
      </c>
      <c r="F58" s="34" t="n">
        <f aca="false">F53+F55+F56-F57</f>
        <v>-623.210478817172</v>
      </c>
      <c r="G58" s="34" t="n">
        <f aca="false">G53+G55+G56-G57</f>
        <v>-6974.89671141259</v>
      </c>
    </row>
    <row r="59" customFormat="false" ht="15" hidden="false" customHeight="true" outlineLevel="0" collapsed="false">
      <c r="A59" s="13" t="s">
        <v>594</v>
      </c>
      <c r="C59" s="34" t="n">
        <f aca="false">C58*Inputs!$B$46</f>
        <v>3195.51395802683</v>
      </c>
      <c r="D59" s="34" t="n">
        <f aca="false">D58*Inputs!$B$46</f>
        <v>5935.46526946189</v>
      </c>
      <c r="E59" s="34" t="n">
        <f aca="false">E58*Inputs!$B$46</f>
        <v>3141.00145299469</v>
      </c>
      <c r="F59" s="34" t="n">
        <f aca="false">F58*Inputs!$B$46</f>
        <v>-448.711544748364</v>
      </c>
      <c r="G59" s="34" t="n">
        <f aca="false">G58*Inputs!$B$46</f>
        <v>-5021.92563221707</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448.711544748364</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448.711544748364</v>
      </c>
      <c r="G62" s="34" t="n">
        <f aca="false">G60-G61+MAX(0,-G59)</f>
        <v>5470.63717696543</v>
      </c>
    </row>
    <row r="63" customFormat="false" ht="15" hidden="false" customHeight="true" outlineLevel="0" collapsed="false">
      <c r="A63" s="13" t="s">
        <v>598</v>
      </c>
      <c r="C63" s="34" t="n">
        <f aca="false">MAX(0,C59-C61)*Inputs!$B$47</f>
        <v>191.73083748161</v>
      </c>
      <c r="D63" s="34" t="n">
        <f aca="false">MAX(0,D59-D61)*Inputs!$B$47</f>
        <v>104.127916167714</v>
      </c>
      <c r="E63" s="34" t="n">
        <f aca="false">MAX(0,E59-E61)*Inputs!$B$47</f>
        <v>188.460087179681</v>
      </c>
      <c r="F63" s="34" t="n">
        <f aca="false">MAX(0,F59-F61)*Inputs!$B$47</f>
        <v>0</v>
      </c>
      <c r="G63" s="34" t="n">
        <f aca="false">MAX(0,G59-G61)*Inputs!$B$47</f>
        <v>0</v>
      </c>
    </row>
    <row r="64" customFormat="false" ht="15" hidden="false" customHeight="true" outlineLevel="0" collapsed="false">
      <c r="A64" s="13" t="s">
        <v>599</v>
      </c>
      <c r="C64" s="34" t="n">
        <f aca="false">C58-C63</f>
        <v>4246.48299311121</v>
      </c>
      <c r="D64" s="34" t="n">
        <f aca="false">D58-D63</f>
        <v>8139.5738469738</v>
      </c>
      <c r="E64" s="34" t="n">
        <f aca="false">E58-E63</f>
        <v>4174.0419308685</v>
      </c>
      <c r="F64" s="34" t="n">
        <f aca="false">F58-F63</f>
        <v>-623.210478817172</v>
      </c>
      <c r="G64" s="34" t="n">
        <f aca="false">G58-G63</f>
        <v>-6974.89671141259</v>
      </c>
    </row>
    <row r="65" customFormat="false" ht="15" hidden="false" customHeight="true" outlineLevel="0" collapsed="false">
      <c r="A65" s="13" t="s">
        <v>600</v>
      </c>
      <c r="C65" s="34" t="n">
        <f aca="false">Inputs!$B$44</f>
        <v>8200</v>
      </c>
      <c r="D65" s="34" t="n">
        <f aca="false">C67</f>
        <v>4802.81360551103</v>
      </c>
      <c r="E65" s="34" t="n">
        <f aca="false">D67</f>
        <v>0</v>
      </c>
      <c r="F65" s="34" t="n">
        <f aca="false">E67</f>
        <v>0</v>
      </c>
      <c r="G65" s="34" t="n">
        <f aca="false">F67</f>
        <v>623.210478817172</v>
      </c>
    </row>
    <row r="66" customFormat="false" ht="15" hidden="false" customHeight="true" outlineLevel="0" collapsed="false">
      <c r="A66" s="13" t="s">
        <v>601</v>
      </c>
      <c r="C66" s="34" t="n">
        <f aca="false">MIN(C65,Inputs!$B$45*MAX(0,C64))</f>
        <v>3397.18639448897</v>
      </c>
      <c r="D66" s="34" t="n">
        <f aca="false">MIN(D65,Inputs!$B$45*MAX(0,D64))</f>
        <v>4802.81360551103</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0</v>
      </c>
      <c r="E67" s="34" t="n">
        <f aca="false">E65-E66+MAX(0,-E64)</f>
        <v>0</v>
      </c>
      <c r="F67" s="34" t="n">
        <f aca="false">F65-F66+MAX(0,-F64)</f>
        <v>623.210478817172</v>
      </c>
      <c r="G67" s="34" t="n">
        <f aca="false">G65-G66+MAX(0,-G64)</f>
        <v>7598.10719022977</v>
      </c>
    </row>
    <row r="68" customFormat="false" ht="15" hidden="false" customHeight="true" outlineLevel="0" collapsed="false">
      <c r="A68" s="13" t="s">
        <v>603</v>
      </c>
      <c r="C68" s="34" t="n">
        <f aca="false">MAX(0,C64-C66)*Inputs!$B$43</f>
        <v>178.352285710671</v>
      </c>
      <c r="D68" s="34" t="n">
        <f aca="false">MAX(0,D64-D66)*Inputs!$B$43</f>
        <v>700.719650707182</v>
      </c>
      <c r="E68" s="34" t="n">
        <f aca="false">MAX(0,E64-E66)*Inputs!$B$43</f>
        <v>876.548805482385</v>
      </c>
      <c r="F68" s="34" t="n">
        <f aca="false">MAX(0,F64-F66)*Inputs!$B$43</f>
        <v>0</v>
      </c>
      <c r="G68" s="34" t="n">
        <f aca="false">MAX(0,G64-G66)*Inputs!$B$43</f>
        <v>0</v>
      </c>
    </row>
    <row r="69" customFormat="false" ht="15" hidden="false" customHeight="true" outlineLevel="0" collapsed="false">
      <c r="A69" s="10" t="s">
        <v>604</v>
      </c>
      <c r="C69" s="36" t="n">
        <f aca="false">IF(Inputs!$I$90=0,MAX(0,C53+C55)*Inputs!B$54,IF(Inputs!$I$90=2,MAX(0,C58)*Inputs!$I$91,C63+C68))</f>
        <v>370.083123192281</v>
      </c>
      <c r="D69" s="36" t="n">
        <f aca="false">IF(Inputs!$I$90=0,MAX(0,D53+D55)*Inputs!C$54,IF(Inputs!$I$90=2,MAX(0,D58)*Inputs!$I$91,D63+D68))</f>
        <v>804.847566874895</v>
      </c>
      <c r="E69" s="36" t="n">
        <f aca="false">IF(Inputs!$I$90=0,MAX(0,E53+E55)*Inputs!D$54,IF(Inputs!$I$90=2,MAX(0,E58)*Inputs!$I$91,E63+E68))</f>
        <v>1065.00889266207</v>
      </c>
      <c r="F69" s="36" t="n">
        <f aca="false">IF(Inputs!$I$90=0,MAX(0,F53+F55)*Inputs!E$54,IF(Inputs!$I$90=2,MAX(0,F58)*Inputs!$I$91,F63+F68))</f>
        <v>0</v>
      </c>
      <c r="G69" s="36" t="n">
        <f aca="false">IF(Inputs!$I$90=0,MAX(0,G53+G55)*Inputs!F$54,IF(Inputs!$I$90=2,MAX(0,G58)*Inputs!$I$91,G63+G68))</f>
        <v>0</v>
      </c>
    </row>
    <row r="70" customFormat="false" ht="15" hidden="false" customHeight="true" outlineLevel="0" collapsed="false">
      <c r="A70" s="13" t="s">
        <v>605</v>
      </c>
      <c r="C70" s="16" t="n">
        <f aca="false">IF(C58&gt;0,MIN(1,C69/C58),0)</f>
        <v>0.0833856</v>
      </c>
      <c r="D70" s="16" t="n">
        <f aca="false">IF(D58&gt;0,MIN(1,D69/D58),0)</f>
        <v>0.0976318151723363</v>
      </c>
      <c r="E70" s="16" t="n">
        <f aca="false">IF(E58&gt;0,MIN(1,E69/E58),0)</f>
        <v>0.244128</v>
      </c>
      <c r="F70" s="16" t="n">
        <f aca="false">IF(F58&gt;0,MIN(1,F69/F58),0)</f>
        <v>0</v>
      </c>
      <c r="G70" s="16" t="n">
        <f aca="false">IF(G58&gt;0,MIN(1,G69/G58),0)</f>
        <v>0</v>
      </c>
    </row>
    <row r="71" customFormat="false" ht="15" hidden="false" customHeight="true" outlineLevel="0" collapsed="false">
      <c r="A71" s="13" t="s">
        <v>606</v>
      </c>
      <c r="C71" s="34" t="n">
        <f aca="false">C53+C55-C69</f>
        <v>4068.13070740054</v>
      </c>
      <c r="D71" s="34" t="n">
        <f aca="false">D53+D55-D69</f>
        <v>7438.85419626662</v>
      </c>
      <c r="E71" s="34" t="n">
        <f aca="false">E53+E55-E69</f>
        <v>3297.49312538611</v>
      </c>
      <c r="F71" s="34" t="n">
        <f aca="false">F53+F55-F69</f>
        <v>-623.210478817172</v>
      </c>
      <c r="G71" s="34" t="n">
        <f aca="false">G53+G55-G69</f>
        <v>-6974.89671141259</v>
      </c>
    </row>
    <row r="72" customFormat="false" ht="15" hidden="false" customHeight="true" outlineLevel="0" collapsed="false">
      <c r="A72" s="13" t="s">
        <v>607</v>
      </c>
      <c r="C72" s="34" t="n">
        <f aca="false">C12+C20</f>
        <v>8451.61981826049</v>
      </c>
      <c r="D72" s="34" t="n">
        <f aca="false">D12+D20</f>
        <v>7320.78</v>
      </c>
      <c r="E72" s="34" t="n">
        <f aca="false">E12+E20</f>
        <v>8296.884</v>
      </c>
      <c r="F72" s="34" t="n">
        <f aca="false">F12+F20</f>
        <v>8530.2338625</v>
      </c>
      <c r="G72" s="34" t="n">
        <f aca="false">G12+G20</f>
        <v>8225.582653125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10892.910525661</v>
      </c>
      <c r="D75" s="36" t="n">
        <f aca="false">D53+D72+D52+D55-D69-D51+D73+D74</f>
        <v>12156.6901962666</v>
      </c>
      <c r="E75" s="36" t="n">
        <f aca="false">E53+E72+E52+E55-E69-E51+E73+E74</f>
        <v>8096.67112538611</v>
      </c>
      <c r="F75" s="36" t="n">
        <f aca="false">F53+F72+F52+F55-F69-F51+F73+F74</f>
        <v>4720.45053368283</v>
      </c>
      <c r="G75" s="36" t="n">
        <f aca="false">G53+G72+G52+G55-G69-G51+G73+G74</f>
        <v>-1326.5844895376</v>
      </c>
    </row>
    <row r="76" customFormat="false" ht="15" hidden="false" customHeight="true" outlineLevel="0" collapsed="false">
      <c r="A76" s="10" t="s">
        <v>611</v>
      </c>
      <c r="C76" s="36" t="n">
        <f aca="false">C53+C52-(C69-C55*C70)-C51+C73+C74</f>
        <v>-85.4829206794611</v>
      </c>
      <c r="D76" s="36" t="n">
        <f aca="false">D53+D52-(D69-D55*D70)-D51+D73+D74</f>
        <v>1670.44974077034</v>
      </c>
      <c r="E76" s="36" t="n">
        <f aca="false">E53+E52-(E69-E55*E70)-E51+E73+E74</f>
        <v>-3081.49490953601</v>
      </c>
      <c r="F76" s="36" t="n">
        <f aca="false">F53+F52-(F69-F55*F70)-F51+F73+F74</f>
        <v>-7824.06512500002</v>
      </c>
      <c r="G76" s="36" t="n">
        <f aca="false">G53+G52-(G69-G55*G70)-G51+G73+G74</f>
        <v>-13684.4602021875</v>
      </c>
    </row>
    <row r="77" customFormat="false" ht="15" hidden="false" customHeight="true" outlineLevel="0" collapsed="false">
      <c r="A77" s="13" t="s">
        <v>612</v>
      </c>
      <c r="C77" s="16" t="n">
        <f aca="false">IFERROR(C76/C49,0)</f>
        <v>-0.00157636130190052</v>
      </c>
      <c r="D77" s="16" t="n">
        <f aca="false">IFERROR(D76/D49,0)</f>
        <v>0.0205361282089245</v>
      </c>
      <c r="E77" s="16" t="n">
        <f aca="false">IFERROR(E76/E49,0)</f>
        <v>-0.0297123104002516</v>
      </c>
      <c r="F77" s="16" t="n">
        <f aca="false">IFERROR(F76/F49,0)</f>
        <v>-0.0642051047577597</v>
      </c>
      <c r="G77" s="16" t="n">
        <f aca="false">IFERROR(G76/G49,0)</f>
        <v>-0.0998187784082769</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140317.910525661</v>
      </c>
      <c r="E80" s="34" t="n">
        <f aca="false">D85</f>
        <v>152474.600721928</v>
      </c>
      <c r="F80" s="34" t="n">
        <f aca="false">E85</f>
        <v>160571.271847314</v>
      </c>
      <c r="G80" s="34" t="n">
        <f aca="false">F85</f>
        <v>165291.722380997</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8666.91052566103</v>
      </c>
      <c r="D82" s="34" t="n">
        <f aca="false">D75</f>
        <v>12156.6901962666</v>
      </c>
      <c r="E82" s="34" t="n">
        <f aca="false">E75</f>
        <v>8096.67112538611</v>
      </c>
      <c r="F82" s="34" t="n">
        <f aca="false">F75</f>
        <v>4720.45053368283</v>
      </c>
      <c r="G82" s="34" t="n">
        <f aca="false">G75</f>
        <v>-1326.5844895376</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140317.910525661</v>
      </c>
      <c r="D85" s="36" t="n">
        <f aca="false">D80+D82+D83+D84</f>
        <v>152474.600721928</v>
      </c>
      <c r="E85" s="36" t="n">
        <f aca="false">E80+E82+E83+E84</f>
        <v>160571.271847314</v>
      </c>
      <c r="F85" s="36" t="n">
        <f aca="false">F80+F82+F83+F84</f>
        <v>165291.722380997</v>
      </c>
      <c r="G85" s="36" t="n">
        <f aca="false">G80+G82+G83+G84</f>
        <v>163965.137891459</v>
      </c>
    </row>
    <row r="86" customFormat="false" ht="15" hidden="false" customHeight="true" outlineLevel="0" collapsed="false">
      <c r="A86" s="13" t="s">
        <v>622</v>
      </c>
      <c r="C86" s="34" t="n">
        <f aca="false">MIN(C80-C81,C85)</f>
        <v>131651</v>
      </c>
      <c r="D86" s="34" t="n">
        <f aca="false">MIN(D80-D81,D85)</f>
        <v>140317.910525661</v>
      </c>
      <c r="E86" s="34" t="n">
        <f aca="false">MIN(E80-E81,E85)</f>
        <v>152474.600721928</v>
      </c>
      <c r="F86" s="34" t="n">
        <f aca="false">MIN(F80-F81,F85)</f>
        <v>160571.271847314</v>
      </c>
      <c r="G86" s="34" t="n">
        <f aca="false">MIN(G80-G81,G85)</f>
        <v>163965.137891459</v>
      </c>
    </row>
    <row r="87" customFormat="false" ht="15" hidden="false" customHeight="true" outlineLevel="0" collapsed="false">
      <c r="A87" s="13" t="s">
        <v>623</v>
      </c>
      <c r="C87" s="34" t="n">
        <f aca="false">C86-Inputs!$B$29</f>
        <v>126651</v>
      </c>
      <c r="D87" s="34" t="n">
        <f aca="false">D86-Inputs!$B$29</f>
        <v>135317.910525661</v>
      </c>
      <c r="E87" s="34" t="n">
        <f aca="false">E86-Inputs!$B$29</f>
        <v>147474.600721928</v>
      </c>
      <c r="F87" s="34" t="n">
        <f aca="false">F86-Inputs!$B$29</f>
        <v>155571.271847314</v>
      </c>
      <c r="G87" s="34" t="n">
        <f aca="false">G86-Inputs!$B$29</f>
        <v>158965.137891459</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140317.910525661</v>
      </c>
      <c r="D100" s="34" t="n">
        <f aca="false">D85+SUM($C97:D97)+SUM($C98:D98)-SUM($C99:D99)</f>
        <v>152474.600721928</v>
      </c>
      <c r="E100" s="34" t="n">
        <f aca="false">E85+SUM($C97:E97)+SUM($C98:E98)-SUM($C99:E99)</f>
        <v>160571.271847314</v>
      </c>
      <c r="F100" s="34" t="n">
        <f aca="false">F85+SUM($C97:F97)+SUM($C98:F98)-SUM($C99:F99)</f>
        <v>165291.722380997</v>
      </c>
      <c r="G100" s="34" t="n">
        <f aca="false">G85+SUM($C97:G97)+SUM($C98:G98)-SUM($C99:G99)</f>
        <v>163965.137891459</v>
      </c>
    </row>
    <row r="101" customFormat="false" ht="15" hidden="false" customHeight="true" outlineLevel="0" collapsed="false">
      <c r="A101" s="13" t="s">
        <v>637</v>
      </c>
      <c r="C101" s="34" t="n">
        <f aca="false">MIN(C80-C81+0+C97,C100)</f>
        <v>131651</v>
      </c>
      <c r="D101" s="34" t="n">
        <f aca="false">MIN(D80-D81+SUM($C97:C97)+SUM($C98:C98)-SUM($C99:C99)+D97,D100)</f>
        <v>140317.910525661</v>
      </c>
      <c r="E101" s="34" t="n">
        <f aca="false">MIN(E80-E81+SUM($C97:D97)+SUM($C98:D98)-SUM($C99:D99)+E97,E100)</f>
        <v>152474.600721928</v>
      </c>
      <c r="F101" s="34" t="n">
        <f aca="false">MIN(F80-F81+SUM($C97:E97)+SUM($C98:E98)-SUM($C99:E99)+F97,F100)</f>
        <v>160571.271847314</v>
      </c>
      <c r="G101" s="34" t="n">
        <f aca="false">MIN(G80-G81+SUM($C97:F97)+SUM($C98:F98)-SUM($C99:F99)+G97,G100)</f>
        <v>163965.137891459</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82806.156</v>
      </c>
      <c r="E105" s="34" t="n">
        <f aca="false">E5+E31</f>
        <v>108378.04725</v>
      </c>
      <c r="F105" s="34" t="n">
        <f aca="false">F5+F31</f>
        <v>132827.9272875</v>
      </c>
      <c r="G105" s="34" t="n">
        <f aca="false">G5+G31</f>
        <v>155600.605188281</v>
      </c>
    </row>
    <row r="106" customFormat="false" ht="15" hidden="false" customHeight="true" outlineLevel="0" collapsed="false">
      <c r="A106" s="13" t="s">
        <v>558</v>
      </c>
      <c r="C106" s="34" t="n">
        <f aca="false">C17+C35</f>
        <v>1681.57633059282</v>
      </c>
      <c r="D106" s="34" t="n">
        <f aca="false">D17+D35</f>
        <v>5972.15239999999</v>
      </c>
      <c r="E106" s="34" t="n">
        <f aca="false">E17+E35</f>
        <v>4105.28239999999</v>
      </c>
      <c r="F106" s="34" t="n">
        <f aca="false">F17+F35</f>
        <v>2655.93647749998</v>
      </c>
      <c r="G106" s="34" t="n">
        <f aca="false">G17+G35</f>
        <v>573.216396562485</v>
      </c>
    </row>
    <row r="107" customFormat="false" ht="15" hidden="false" customHeight="true" outlineLevel="0" collapsed="false">
      <c r="A107" s="13" t="s">
        <v>586</v>
      </c>
      <c r="C107" s="34" t="n">
        <f aca="false">C51+C37</f>
        <v>1626.84</v>
      </c>
      <c r="D107" s="34" t="n">
        <f aca="false">D51+D37</f>
        <v>3312.24624</v>
      </c>
      <c r="E107" s="34" t="n">
        <f aca="false">E51+E37</f>
        <v>5418.9023625</v>
      </c>
      <c r="F107" s="34" t="n">
        <f aca="false">F51+F37</f>
        <v>6641.396364375</v>
      </c>
      <c r="G107" s="34" t="n">
        <f aca="false">G51+G37</f>
        <v>7780.03025941406</v>
      </c>
    </row>
    <row r="108" customFormat="false" ht="15" hidden="false" customHeight="true" outlineLevel="0" collapsed="false">
      <c r="A108" s="13" t="s">
        <v>587</v>
      </c>
      <c r="C108" s="33" t="n">
        <v>0</v>
      </c>
      <c r="D108" s="34" t="n">
        <f aca="false">SUMPRODUCT($D107:D107,--((4-COLUMN($D107:D107))&lt;Inputs!$B$32))/Inputs!$B$32</f>
        <v>662.449248</v>
      </c>
      <c r="E108" s="34" t="n">
        <f aca="false">SUMPRODUCT($D107:E107,--((5-COLUMN($D107:E107))&lt;Inputs!$B$32))/Inputs!$B$32</f>
        <v>1746.2297205</v>
      </c>
      <c r="F108" s="34" t="n">
        <f aca="false">SUMPRODUCT($D107:F107,--((6-COLUMN($D107:F107))&lt;Inputs!$B$32))/Inputs!$B$32</f>
        <v>3074.508993375</v>
      </c>
      <c r="G108" s="34" t="n">
        <f aca="false">SUMPRODUCT($D107:G107,--((7-COLUMN($D107:G107))&lt;Inputs!$B$32))/Inputs!$B$32</f>
        <v>4630.51504525781</v>
      </c>
    </row>
    <row r="109" customFormat="false" ht="15" hidden="false" customHeight="true" outlineLevel="0" collapsed="false">
      <c r="A109" s="10" t="s">
        <v>588</v>
      </c>
      <c r="C109" s="36" t="n">
        <f aca="false">C106-C108</f>
        <v>1681.57633059282</v>
      </c>
      <c r="D109" s="36" t="n">
        <f aca="false">D106-D108</f>
        <v>5309.70315199999</v>
      </c>
      <c r="E109" s="36" t="n">
        <f aca="false">E106-E108</f>
        <v>2359.05267949999</v>
      </c>
      <c r="F109" s="36" t="n">
        <f aca="false">F106-F108</f>
        <v>-418.572515875017</v>
      </c>
      <c r="G109" s="36" t="n">
        <f aca="false">G106-G108</f>
        <v>-4057.29864869533</v>
      </c>
    </row>
    <row r="110" customFormat="false" ht="15" hidden="false" customHeight="true" outlineLevel="0" collapsed="false">
      <c r="A110" s="13" t="s">
        <v>589</v>
      </c>
      <c r="C110" s="16" t="n">
        <f aca="false">IFERROR(C109/C105,0)</f>
        <v>0.0310093739505942</v>
      </c>
      <c r="D110" s="16" t="n">
        <f aca="false">IFERROR(D109/D105,0)</f>
        <v>0.0641220823244106</v>
      </c>
      <c r="E110" s="16" t="n">
        <f aca="false">IFERROR(E109/E105,0)</f>
        <v>0.0217668867391407</v>
      </c>
      <c r="F110" s="16" t="n">
        <f aca="false">IFERROR(F109/F105,0)</f>
        <v>-0.00315123878255689</v>
      </c>
      <c r="G110" s="16" t="n">
        <f aca="false">IFERROR(G109/G105,0)</f>
        <v>-0.0260750827015478</v>
      </c>
    </row>
    <row r="111" customFormat="false" ht="15" hidden="false" customHeight="true" outlineLevel="0" collapsed="false">
      <c r="A111" s="13" t="s">
        <v>590</v>
      </c>
      <c r="C111" s="34" t="n">
        <f aca="false">Historicals!F43+C136*Inputs!$B$20/2</f>
        <v>2756.6375</v>
      </c>
      <c r="D111" s="34" t="n">
        <f aca="false">MAX(0,D136-D137)*Inputs!$B$20</f>
        <v>3507.94776314153</v>
      </c>
      <c r="E111" s="34" t="n">
        <f aca="false">MAX(0,E136-E137)*Inputs!$B$20</f>
        <v>3821.5394955837</v>
      </c>
      <c r="F111" s="34" t="n">
        <f aca="false">MAX(0,F136-F137)*Inputs!$B$20</f>
        <v>4053.93819374783</v>
      </c>
      <c r="G111" s="34" t="n">
        <f aca="false">MAX(0,G136-G137)*Inputs!$B$20</f>
        <v>4246.71863417695</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8817.65091514152</v>
      </c>
      <c r="E114" s="34" t="n">
        <f aca="false">E109+E111+E112-E113</f>
        <v>6180.59217508369</v>
      </c>
      <c r="F114" s="34" t="n">
        <f aca="false">F109+F111+F112-F113</f>
        <v>3635.36567787281</v>
      </c>
      <c r="G114" s="34" t="n">
        <f aca="false">G109+G111+G112-G113</f>
        <v>189.419985481626</v>
      </c>
    </row>
    <row r="115" customFormat="false" ht="15" hidden="false" customHeight="true" outlineLevel="0" collapsed="false">
      <c r="A115" s="13" t="s">
        <v>594</v>
      </c>
      <c r="C115" s="34" t="n">
        <f aca="false">C114*Inputs!$B$46</f>
        <v>3195.51395802683</v>
      </c>
      <c r="D115" s="34" t="n">
        <f aca="false">D114*Inputs!$B$46</f>
        <v>6348.70865890189</v>
      </c>
      <c r="E115" s="34" t="n">
        <f aca="false">E114*Inputs!$B$46</f>
        <v>4450.02636606026</v>
      </c>
      <c r="F115" s="34" t="n">
        <f aca="false">F114*Inputs!$B$46</f>
        <v>2617.46328806842</v>
      </c>
      <c r="G115" s="34" t="n">
        <f aca="false">G114*Inputs!$B$46</f>
        <v>136.382389546771</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191.73083748161</v>
      </c>
      <c r="D119" s="34" t="n">
        <f aca="false">MAX(0,D115-D117)*Inputs!$B$47</f>
        <v>128.922519534113</v>
      </c>
      <c r="E119" s="34" t="n">
        <f aca="false">MAX(0,E115-E117)*Inputs!$B$47</f>
        <v>267.001581963616</v>
      </c>
      <c r="F119" s="34" t="n">
        <f aca="false">MAX(0,F115-F117)*Inputs!$B$47</f>
        <v>157.047797284105</v>
      </c>
      <c r="G119" s="34" t="n">
        <f aca="false">MAX(0,G115-G117)*Inputs!$B$47</f>
        <v>8.18294337280625</v>
      </c>
    </row>
    <row r="120" customFormat="false" ht="15" hidden="false" customHeight="true" outlineLevel="0" collapsed="false">
      <c r="A120" s="13" t="s">
        <v>599</v>
      </c>
      <c r="C120" s="34" t="n">
        <f aca="false">C114-C119</f>
        <v>4246.48299311121</v>
      </c>
      <c r="D120" s="34" t="n">
        <f aca="false">D114-D119</f>
        <v>8688.7283956074</v>
      </c>
      <c r="E120" s="34" t="n">
        <f aca="false">E114-E119</f>
        <v>5913.59059312008</v>
      </c>
      <c r="F120" s="34" t="n">
        <f aca="false">F114-F119</f>
        <v>3478.3178805887</v>
      </c>
      <c r="G120" s="34" t="n">
        <f aca="false">G114-G119</f>
        <v>181.23704210882</v>
      </c>
    </row>
    <row r="121" customFormat="false" ht="15" hidden="false" customHeight="true" outlineLevel="0" collapsed="false">
      <c r="A121" s="13" t="s">
        <v>600</v>
      </c>
      <c r="C121" s="34" t="n">
        <f aca="false">Inputs!$B$44</f>
        <v>8200</v>
      </c>
      <c r="D121" s="34" t="n">
        <f aca="false">C123</f>
        <v>4802.81360551103</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3397.18639448897</v>
      </c>
      <c r="D122" s="34" t="n">
        <f aca="false">MIN(D121,Inputs!$B$45*MAX(0,D120))</f>
        <v>4802.81360551103</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178.352285710671</v>
      </c>
      <c r="D124" s="34" t="n">
        <f aca="false">MAX(0,D120-D122)*Inputs!$B$43</f>
        <v>816.042105920238</v>
      </c>
      <c r="E124" s="34" t="n">
        <f aca="false">MAX(0,E120-E122)*Inputs!$B$43</f>
        <v>1241.85402455522</v>
      </c>
      <c r="F124" s="34" t="n">
        <f aca="false">MAX(0,F120-F122)*Inputs!$B$43</f>
        <v>730.446754923628</v>
      </c>
      <c r="G124" s="34" t="n">
        <f aca="false">MAX(0,G120-G122)*Inputs!$B$43</f>
        <v>38.0597788428522</v>
      </c>
    </row>
    <row r="125" customFormat="false" ht="15" hidden="false" customHeight="true" outlineLevel="0" collapsed="false">
      <c r="A125" s="10" t="s">
        <v>604</v>
      </c>
      <c r="C125" s="36" t="n">
        <f aca="false">IF(Inputs!$I$90=0,MAX(0,C109+C111)*Inputs!B$54,IF(Inputs!$I$90=2,MAX(0,C114)*Inputs!$I$91,C119+C124))</f>
        <v>370.083123192281</v>
      </c>
      <c r="D125" s="36" t="n">
        <f aca="false">IF(Inputs!$I$90=0,MAX(0,D109+D111)*Inputs!C$54,IF(Inputs!$I$90=2,MAX(0,D114)*Inputs!$I$91,D119+D124))</f>
        <v>944.964625454351</v>
      </c>
      <c r="E125" s="36" t="n">
        <f aca="false">IF(Inputs!$I$90=0,MAX(0,E109+E111)*Inputs!D$54,IF(Inputs!$I$90=2,MAX(0,E114)*Inputs!$I$91,E119+E124))</f>
        <v>1508.85560651883</v>
      </c>
      <c r="F125" s="36" t="n">
        <f aca="false">IF(Inputs!$I$90=0,MAX(0,F109+F111)*Inputs!E$54,IF(Inputs!$I$90=2,MAX(0,F114)*Inputs!$I$91,F119+F124))</f>
        <v>887.494552207733</v>
      </c>
      <c r="G125" s="36" t="n">
        <f aca="false">IF(Inputs!$I$90=0,MAX(0,G109+G111)*Inputs!F$54,IF(Inputs!$I$90=2,MAX(0,G114)*Inputs!$I$91,G119+G124))</f>
        <v>46.2427222156584</v>
      </c>
    </row>
    <row r="126" customFormat="false" ht="15" hidden="false" customHeight="true" outlineLevel="0" collapsed="false">
      <c r="A126" s="13" t="s">
        <v>605</v>
      </c>
      <c r="C126" s="16" t="n">
        <f aca="false">IF(C114&gt;0,MIN(1,C125/C114),0)</f>
        <v>0.0833856</v>
      </c>
      <c r="D126" s="16" t="n">
        <f aca="false">IF(D114&gt;0,MIN(1,D125/D114),0)</f>
        <v>0.107167388973369</v>
      </c>
      <c r="E126" s="16" t="n">
        <f aca="false">IF(E114&gt;0,MIN(1,E125/E114),0)</f>
        <v>0.244128</v>
      </c>
      <c r="F126" s="16" t="n">
        <f aca="false">IF(F114&gt;0,MIN(1,F125/F114),0)</f>
        <v>0.244128</v>
      </c>
      <c r="G126" s="16" t="n">
        <f aca="false">IF(G114&gt;0,MIN(1,G125/G114),0)</f>
        <v>0.244128</v>
      </c>
    </row>
    <row r="127" customFormat="false" ht="15" hidden="false" customHeight="true" outlineLevel="0" collapsed="false">
      <c r="A127" s="13" t="s">
        <v>606</v>
      </c>
      <c r="C127" s="34" t="n">
        <f aca="false">C109+C111-C125</f>
        <v>4068.13070740054</v>
      </c>
      <c r="D127" s="34" t="n">
        <f aca="false">D109+D111-D125</f>
        <v>7872.68628968716</v>
      </c>
      <c r="E127" s="34" t="n">
        <f aca="false">E109+E111-E125</f>
        <v>4671.73656856486</v>
      </c>
      <c r="F127" s="34" t="n">
        <f aca="false">F109+F111-F125</f>
        <v>2747.87112566508</v>
      </c>
      <c r="G127" s="34" t="n">
        <f aca="false">G109+G111-G125</f>
        <v>143.177263265968</v>
      </c>
    </row>
    <row r="128" customFormat="false" ht="15" hidden="false" customHeight="true" outlineLevel="0" collapsed="false">
      <c r="A128" s="13" t="s">
        <v>607</v>
      </c>
      <c r="C128" s="34" t="n">
        <f aca="false">C12+C20</f>
        <v>8451.61981826049</v>
      </c>
      <c r="D128" s="34" t="n">
        <f aca="false">D12+D20</f>
        <v>7320.78</v>
      </c>
      <c r="E128" s="34" t="n">
        <f aca="false">E12+E20</f>
        <v>8296.884</v>
      </c>
      <c r="F128" s="34" t="n">
        <f aca="false">F12+F20</f>
        <v>8530.2338625</v>
      </c>
      <c r="G128" s="34" t="n">
        <f aca="false">G12+G20</f>
        <v>8225.582653125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10892.910525661</v>
      </c>
      <c r="D131" s="36" t="n">
        <f aca="false">D109+D128+D108+D111-D125-D107+D129+D130</f>
        <v>12543.6692976872</v>
      </c>
      <c r="E131" s="36" t="n">
        <f aca="false">E109+E128+E108+E111-E125-E107+E129+E130</f>
        <v>9295.94792656486</v>
      </c>
      <c r="F131" s="36" t="n">
        <f aca="false">F109+F128+F108+F111-F125-F107+F129+F130</f>
        <v>7711.21761716508</v>
      </c>
      <c r="G131" s="36" t="n">
        <f aca="false">G109+G128+G108+G111-G125-G107+G129+G130</f>
        <v>5219.24470223472</v>
      </c>
    </row>
    <row r="132" customFormat="false" ht="15" hidden="false" customHeight="true" outlineLevel="0" collapsed="false">
      <c r="A132" s="10" t="s">
        <v>611</v>
      </c>
      <c r="C132" s="36" t="n">
        <f aca="false">C109+C108-(C125-C111*C126)-C107+C129+C130</f>
        <v>-85.4829206794611</v>
      </c>
      <c r="D132" s="36" t="n">
        <f aca="false">D109+D108-(D125-D111*D126)-D107+D129+D130</f>
        <v>2090.87913697649</v>
      </c>
      <c r="E132" s="36" t="n">
        <f aca="false">E109+E108-(E125-E111*E126)-E107+E129+E130</f>
        <v>-1889.53077504099</v>
      </c>
      <c r="F132" s="36" t="n">
        <f aca="false">F109+F108-(F125-F111*F126)-F107+F129+F130</f>
        <v>-3883.27461571948</v>
      </c>
      <c r="G132" s="36" t="n">
        <f aca="false">G109+G108-(G125-G111*G126)-G107+G129+G130</f>
        <v>-6216.31365834288</v>
      </c>
    </row>
    <row r="133" customFormat="false" ht="15" hidden="false" customHeight="true" outlineLevel="0" collapsed="false">
      <c r="A133" s="13" t="s">
        <v>612</v>
      </c>
      <c r="C133" s="16" t="n">
        <f aca="false">IFERROR(C132/C105,0)</f>
        <v>-0.00157636130190052</v>
      </c>
      <c r="D133" s="16" t="n">
        <f aca="false">IFERROR(D132/D105,0)</f>
        <v>0.0252502861861682</v>
      </c>
      <c r="E133" s="16" t="n">
        <f aca="false">IFERROR(E132/E105,0)</f>
        <v>-0.0174346265040403</v>
      </c>
      <c r="F133" s="16" t="n">
        <f aca="false">IFERROR(F132/F105,0)</f>
        <v>-0.0292353776424916</v>
      </c>
      <c r="G133" s="16" t="n">
        <f aca="false">IFERROR(G132/G105,0)</f>
        <v>-0.0399504465347096</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140317.910525661</v>
      </c>
      <c r="E136" s="34" t="n">
        <f aca="false">D141</f>
        <v>152861.579823348</v>
      </c>
      <c r="F136" s="34" t="n">
        <f aca="false">E141</f>
        <v>162157.527749913</v>
      </c>
      <c r="G136" s="34" t="n">
        <f aca="false">F141</f>
        <v>169868.745367078</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8666.91052566103</v>
      </c>
      <c r="D138" s="34" t="n">
        <f aca="false">D131</f>
        <v>12543.6692976872</v>
      </c>
      <c r="E138" s="34" t="n">
        <f aca="false">E131</f>
        <v>9295.94792656486</v>
      </c>
      <c r="F138" s="34" t="n">
        <f aca="false">F131</f>
        <v>7711.21761716508</v>
      </c>
      <c r="G138" s="34" t="n">
        <f aca="false">G131</f>
        <v>5219.24470223472</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140317.910525661</v>
      </c>
      <c r="D141" s="36" t="n">
        <f aca="false">D136+D138+D139+D140</f>
        <v>152861.579823348</v>
      </c>
      <c r="E141" s="36" t="n">
        <f aca="false">E136+E138+E139+E140</f>
        <v>162157.527749913</v>
      </c>
      <c r="F141" s="36" t="n">
        <f aca="false">F136+F138+F139+F140</f>
        <v>169868.745367078</v>
      </c>
      <c r="G141" s="36" t="n">
        <f aca="false">G136+G138+G139+G140</f>
        <v>175087.990069313</v>
      </c>
    </row>
    <row r="142" customFormat="false" ht="15" hidden="false" customHeight="true" outlineLevel="0" collapsed="false">
      <c r="A142" s="13" t="s">
        <v>622</v>
      </c>
      <c r="C142" s="34" t="n">
        <f aca="false">MIN(C136-C137,C141)</f>
        <v>131651</v>
      </c>
      <c r="D142" s="34" t="n">
        <f aca="false">MIN(D136-D137,D141)</f>
        <v>140317.910525661</v>
      </c>
      <c r="E142" s="34" t="n">
        <f aca="false">MIN(E136-E137,E141)</f>
        <v>152861.579823348</v>
      </c>
      <c r="F142" s="34" t="n">
        <f aca="false">MIN(F136-F137,F141)</f>
        <v>162157.527749913</v>
      </c>
      <c r="G142" s="34" t="n">
        <f aca="false">MIN(G136-G137,G141)</f>
        <v>169868.745367078</v>
      </c>
    </row>
    <row r="143" customFormat="false" ht="15" hidden="false" customHeight="true" outlineLevel="0" collapsed="false">
      <c r="A143" s="13" t="s">
        <v>623</v>
      </c>
      <c r="C143" s="34" t="n">
        <f aca="false">C142-Inputs!$B$29</f>
        <v>126651</v>
      </c>
      <c r="D143" s="34" t="n">
        <f aca="false">D142-Inputs!$B$29</f>
        <v>135317.910525661</v>
      </c>
      <c r="E143" s="34" t="n">
        <f aca="false">E142-Inputs!$B$29</f>
        <v>147861.579823348</v>
      </c>
      <c r="F143" s="34" t="n">
        <f aca="false">F142-Inputs!$B$29</f>
        <v>157157.527749913</v>
      </c>
      <c r="G143" s="34" t="n">
        <f aca="false">G142-Inputs!$B$29</f>
        <v>164868.745367078</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140317.910525661</v>
      </c>
      <c r="D156" s="34" t="n">
        <f aca="false">D141+SUM($C153:D153)+SUM($C154:D154)-SUM($C155:D155)</f>
        <v>152861.579823348</v>
      </c>
      <c r="E156" s="34" t="n">
        <f aca="false">E141+SUM($C153:E153)+SUM($C154:E154)-SUM($C155:E155)</f>
        <v>162157.527749913</v>
      </c>
      <c r="F156" s="34" t="n">
        <f aca="false">F141+SUM($C153:F153)+SUM($C154:F154)-SUM($C155:F155)</f>
        <v>169868.745367078</v>
      </c>
      <c r="G156" s="34" t="n">
        <f aca="false">G141+SUM($C153:G153)+SUM($C154:G154)-SUM($C155:G155)</f>
        <v>175087.990069313</v>
      </c>
    </row>
    <row r="157" customFormat="false" ht="15" hidden="false" customHeight="true" outlineLevel="0" collapsed="false">
      <c r="A157" s="13" t="s">
        <v>637</v>
      </c>
      <c r="C157" s="34" t="n">
        <f aca="false">MIN(C136-C137+0+C153,C156)</f>
        <v>131651</v>
      </c>
      <c r="D157" s="34" t="n">
        <f aca="false">MIN(D136-D137+SUM($C153:C153)+SUM($C154:C154)-SUM($C155:C155)+D153,D156)</f>
        <v>140317.910525661</v>
      </c>
      <c r="E157" s="34" t="n">
        <f aca="false">MIN(E136-E137+SUM($C153:D153)+SUM($C154:D154)-SUM($C155:D155)+E153,E156)</f>
        <v>152861.579823348</v>
      </c>
      <c r="F157" s="34" t="n">
        <f aca="false">MIN(F136-F137+SUM($C153:E153)+SUM($C154:E154)-SUM($C155:E155)+F153,F156)</f>
        <v>162157.527749913</v>
      </c>
      <c r="G157" s="34" t="n">
        <f aca="false">MIN(G136-G137+SUM($C153:F153)+SUM($C154:F154)-SUM($C155:F155)+G153,G156)</f>
        <v>169868.745367078</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Inputs!$B$19+Inputs!$I$89</f>
        <v>0.12</v>
      </c>
      <c r="G162" s="16" t="n">
        <f aca="false">Inputs!$B$19+Inputs!$I$89</f>
        <v>0.12</v>
      </c>
    </row>
    <row r="163" customFormat="false" ht="15" hidden="false" customHeight="true" outlineLevel="0" collapsed="false">
      <c r="A163" s="13" t="s">
        <v>642</v>
      </c>
      <c r="F163" s="34" t="n">
        <f aca="false">G53*(1-G70)</f>
        <v>-11107.1897709375</v>
      </c>
      <c r="G163" s="34" t="n">
        <f aca="false">G109*(1-G126)</f>
        <v>-3066.79844418663</v>
      </c>
    </row>
    <row r="164" customFormat="false" ht="15" hidden="false" customHeight="true" outlineLevel="0" collapsed="false">
      <c r="A164" s="13" t="s">
        <v>643</v>
      </c>
      <c r="F164" s="53" t="n">
        <f aca="false">Inputs!$I$87</f>
        <v>30</v>
      </c>
      <c r="G164" s="53" t="n">
        <f aca="false">Inputs!$I$87</f>
        <v>30</v>
      </c>
    </row>
    <row r="165" customFormat="false" ht="15" hidden="false" customHeight="true" outlineLevel="0" collapsed="false">
      <c r="A165" s="13" t="s">
        <v>644</v>
      </c>
      <c r="F165" s="34" t="n">
        <f aca="false">F163*F164</f>
        <v>-333215.693128125</v>
      </c>
      <c r="G165" s="34" t="n">
        <f aca="false">G163*G164</f>
        <v>-92003.953325599</v>
      </c>
    </row>
    <row r="166" customFormat="false" ht="15" hidden="false" customHeight="true" outlineLevel="0" collapsed="false">
      <c r="A166" s="13" t="s">
        <v>645</v>
      </c>
      <c r="F166" s="34" t="n">
        <f aca="false">F165*$G$21</f>
        <v>-211764.59699112</v>
      </c>
      <c r="G166" s="34" t="n">
        <f aca="false">G165*$G$21</f>
        <v>-58470.1756231325</v>
      </c>
    </row>
    <row r="167" customFormat="false" ht="15" hidden="false" customHeight="true" outlineLevel="0" collapsed="false">
      <c r="A167" s="13" t="s">
        <v>646</v>
      </c>
      <c r="F167" s="34" t="n">
        <f aca="false">SUMPRODUCT(D76:G76,$D$21:$G$21)-F162*SUMPRODUCT(D81:G81,$D$21:$G$21)</f>
        <v>-15230.8127580385</v>
      </c>
      <c r="G167" s="34" t="n">
        <f aca="false">SUMPRODUCT(D132:G132,$D$21:$G$21)-G162*SUMPRODUCT(D137:G137,$D$21:$G$21)</f>
        <v>-6354.08387222259</v>
      </c>
    </row>
    <row r="168" customFormat="false" ht="15" hidden="false" customHeight="true" outlineLevel="0" collapsed="false">
      <c r="A168" s="13" t="s">
        <v>647</v>
      </c>
      <c r="F168" s="34" t="n">
        <f aca="false">F166+F167</f>
        <v>-226995.409749159</v>
      </c>
      <c r="G168" s="34" t="n">
        <f aca="false">G166+G167</f>
        <v>-64824.2594953551</v>
      </c>
    </row>
    <row r="169" customFormat="false" ht="15" hidden="false" customHeight="true" outlineLevel="0" collapsed="false">
      <c r="A169" s="13" t="s">
        <v>648</v>
      </c>
      <c r="F169" s="34" t="n">
        <f aca="false">(G76-G74)*Inputs!$I$88*$G$21</f>
        <v>-243508.211847645</v>
      </c>
      <c r="G169" s="34" t="n">
        <f aca="false">(G132-G130)*Inputs!$I$88*$G$21</f>
        <v>-110616.23190553</v>
      </c>
    </row>
    <row r="170" customFormat="false" ht="15" hidden="false" customHeight="true" outlineLevel="0" collapsed="false">
      <c r="A170" s="13" t="s">
        <v>649</v>
      </c>
      <c r="F170" s="34" t="n">
        <f aca="false">F167+F169</f>
        <v>-258739.024605683</v>
      </c>
      <c r="G170" s="34" t="n">
        <f aca="false">G167+G169</f>
        <v>-116970.315777752</v>
      </c>
    </row>
    <row r="171" customFormat="false" ht="15" hidden="false" customHeight="true" outlineLevel="0" collapsed="false">
      <c r="A171" s="13" t="s">
        <v>650</v>
      </c>
      <c r="F171" s="34" t="n">
        <f aca="false">F168*Inputs!$B$21+F170*(1-Inputs!$B$21)</f>
        <v>-242867.217177421</v>
      </c>
      <c r="G171" s="34" t="n">
        <f aca="false">G168*Inputs!$B$21+G170*(1-Inputs!$B$21)</f>
        <v>-90897.2876365537</v>
      </c>
    </row>
    <row r="172" customFormat="false" ht="15" hidden="false" customHeight="true" outlineLevel="0" collapsed="false">
      <c r="A172" s="13" t="s">
        <v>651</v>
      </c>
      <c r="F172" s="16" t="n">
        <f aca="false">IFERROR(F166/F168,0)</f>
        <v>0.932902551752614</v>
      </c>
      <c r="G172" s="16" t="n">
        <f aca="false">IFERROR(G166/G168,0)</f>
        <v>0.901979846407997</v>
      </c>
    </row>
    <row r="173" customFormat="false" ht="15" hidden="false" customHeight="true" outlineLevel="0" collapsed="false">
      <c r="A173" s="13" t="s">
        <v>652</v>
      </c>
      <c r="F173" s="16" t="n">
        <f aca="false">IFERROR(F169/F170,0)</f>
        <v>0.941134458625829</v>
      </c>
      <c r="G173" s="16" t="n">
        <f aca="false">IFERROR(G169/G170,0)</f>
        <v>0.945677808681858</v>
      </c>
    </row>
    <row r="174" customFormat="false" ht="15" hidden="false" customHeight="true" outlineLevel="0" collapsed="false">
      <c r="A174" s="13" t="s">
        <v>653</v>
      </c>
      <c r="F174" s="34" t="n">
        <f aca="false">C85</f>
        <v>140317.910525661</v>
      </c>
      <c r="G174" s="34" t="n">
        <f aca="false">C141</f>
        <v>140317.910525661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-102549.30665176</v>
      </c>
      <c r="G176" s="35" t="n">
        <f aca="false">G171+G174+G175</f>
        <v>49420.6228891074</v>
      </c>
    </row>
    <row r="177" customFormat="false" ht="15" hidden="false" customHeight="true" outlineLevel="0" collapsed="false">
      <c r="A177" s="13" t="s">
        <v>656</v>
      </c>
      <c r="F177" s="34" t="str">
        <f aca="false">IF(F182="OK",F176,"unresolved")</f>
        <v>unresolved</v>
      </c>
      <c r="G177" s="34" t="str">
        <f aca="false">IF(G182="OK",G176,"unresolved")</f>
        <v>unresolved</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str">
        <f aca="false">IF(F182="OK",F176/F178,"n/a")</f>
        <v>n/a</v>
      </c>
      <c r="G179" s="25" t="str">
        <f aca="false">IF(G182="OK",G176/G178,"n/a")</f>
        <v>n/a</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n">
        <f aca="false">IF(G75&lt;0,MAX(0,G85)/-G75,"cash-positive")</f>
        <v>123.599468548446</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Not meaningful: 2030 earnings or cash flow negative</v>
      </c>
      <c r="G182" s="55" t="str">
        <f aca="false">IF(OR(G163&lt;=0,G132-G130&lt;=0),"Not meaningful: 2030 earnings or cash flow negative",IF(G176&lt;=0,"Not meaningful: equity value at or below zero","OK"))</f>
        <v>Not meaningful: 2030 earnings or cash flow negative</v>
      </c>
    </row>
    <row r="183" customFormat="false" ht="15" hidden="false" customHeight="true" outlineLevel="0" collapsed="false">
      <c r="A183" s="10" t="s">
        <v>662</v>
      </c>
      <c r="F183" s="29" t="str">
        <f aca="false">IF(F182&lt;&gt;"OK",F182,IF(F180&gt;0,"Raise needed by 2030",IF(ISNUMBER(F181),"Cash-negative in 2030; runway "&amp;TEXT(F181,"0.0")&amp;" yrs","No raise needed")))</f>
        <v>Not meaningful: 2030 earnings or cash flow negative</v>
      </c>
      <c r="G183" s="29" t="str">
        <f aca="false">IF(G182&lt;&gt;"OK",G182,IF(G180&gt;0,"Raise needed by 2030",IF(ISNUMBER(G181),"Cash-negative in 2030; runway "&amp;TEXT(G181,"0.0")&amp;" yrs","No raise needed")))</f>
        <v>Not meaningful: 2030 earnings or cash flow negative</v>
      </c>
    </row>
    <row r="184" customFormat="false" ht="15" hidden="false" customHeight="true" outlineLevel="0" collapsed="false">
      <c r="A184" s="13" t="s">
        <v>663</v>
      </c>
      <c r="F184" s="25" t="str">
        <f aca="false">IF(NOT(ISNUMBER(F179)),"unresolved",IF(F180=0,F179,(F176+F180/(1+F162)^IF(ISNUMBER(G93),MAX(0,G93-2027),0))/(F178+(F180/(1-Inputs!$B$31))/(F179*(1+F162)^IF(ISNUMBER(G93),MAX(0,G93-2027),0)*(1-0)))))</f>
        <v>unresolved</v>
      </c>
      <c r="G184" s="25" t="str">
        <f aca="false">IF(NOT(ISNUMBER(G179)),"unresolved",IF(G180=0,G179,(G176+G180/(1+G162)^IF(ISNUMBER(G149),MAX(0,G149-2027),0))/(G178+(G180/(1-Inputs!$B$31))/(G179*(1+G162)^IF(ISNUMBER(G149),MAX(0,G149-2027),0)*(1-0)))))</f>
        <v>unresolved</v>
      </c>
    </row>
    <row r="185" customFormat="false" ht="15" hidden="false" customHeight="true" outlineLevel="0" collapsed="false">
      <c r="A185" s="13" t="s">
        <v>664</v>
      </c>
      <c r="F185" s="25" t="str">
        <f aca="false">IF(NOT(ISNUMBER(F179)),"unresolved",IF(F180=0,F179,(F176+F180/(1+F162)^IF(ISNUMBER(G93),MAX(0,G93-2027),0))/(F178+(F180/(1-Inputs!$B$31))/(F179*(1+F162)^IF(ISNUMBER(G93),MAX(0,G93-2027),0)*(1-Inputs!$B$30)))))</f>
        <v>unresolved</v>
      </c>
      <c r="G185" s="25" t="str">
        <f aca="false">IF(NOT(ISNUMBER(G179)),"unresolved",IF(G180=0,G179,(G176+G180/(1+G162)^IF(ISNUMBER(G149),MAX(0,G149-2027),0))/(G178+(G180/(1-Inputs!$B$31))/(G179*(1+G162)^IF(ISNUMBER(G149),MAX(0,G149-2027),0)*(1-Inputs!$B$30)))))</f>
        <v>unresolved</v>
      </c>
    </row>
    <row r="186" customFormat="false" ht="15" hidden="false" customHeight="true" outlineLevel="0" collapsed="false">
      <c r="A186" s="13" t="s">
        <v>665</v>
      </c>
      <c r="F186" s="25" t="str">
        <f aca="false">IF(NOT(ISNUMBER(F179)),"unresolved",IF(F180=0,F179,(F176+F180/(1+F162)^IF(ISNUMBER(G93),MAX(0,G93-2027),0))/(F178+(F180/(1-Inputs!$B$31))/(F179*(1+F162)^IF(ISNUMBER(G93),MAX(0,G93-2027),0)*(1-0.3)))))</f>
        <v>unresolved</v>
      </c>
      <c r="G186" s="25" t="str">
        <f aca="false">IF(NOT(ISNUMBER(G179)),"unresolved",IF(G180=0,G179,(G176+G180/(1+G162)^IF(ISNUMBER(G149),MAX(0,G149-2027),0))/(G178+(G180/(1-Inputs!$B$31))/(G179*(1+G162)^IF(ISNUMBER(G149),MAX(0,G149-2027),0)*(1-0.3)))))</f>
        <v>unresolved</v>
      </c>
    </row>
    <row r="187" customFormat="false" ht="15" hidden="false" customHeight="true" outlineLevel="0" collapsed="false">
      <c r="A187" s="13" t="s">
        <v>666</v>
      </c>
      <c r="F187" s="25" t="str">
        <f aca="false">F185</f>
        <v>unresolved</v>
      </c>
      <c r="G187" s="25" t="str">
        <f aca="false">G185</f>
        <v>unresolved</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str">
        <f aca="false">IF(ISNUMBER(F187),F187/(1+Inputs!$B$25)^F188,"unresolved")</f>
        <v>unresolved</v>
      </c>
      <c r="G189" s="12" t="str">
        <f aca="false">IF(ISNUMBER(G187),G187/(1+Inputs!$B$25)^G188,"unresolved")</f>
        <v>unresolved</v>
      </c>
    </row>
    <row r="190" customFormat="false" ht="15" hidden="false" customHeight="true" outlineLevel="0" collapsed="false">
      <c r="A190" s="13" t="s">
        <v>669</v>
      </c>
      <c r="F190" s="25" t="str">
        <f aca="false">IF(F180=0,F189,"unresolved")</f>
        <v>unresolved</v>
      </c>
      <c r="G190" s="25" t="str">
        <f aca="false">IF(G180=0,G189,"unresolved")</f>
        <v>unresolved</v>
      </c>
    </row>
    <row r="191" customFormat="false" ht="15" hidden="false" customHeight="true" outlineLevel="0" collapsed="false">
      <c r="A191" s="13" t="s">
        <v>670</v>
      </c>
      <c r="F191" s="34" t="str">
        <f aca="false">IF(ISNUMBER(F179),F176+F180/(1+F162)^IF(ISNUMBER(G93),MAX(0,G93-2027),0),"unresolved")</f>
        <v>unresolved</v>
      </c>
      <c r="G191" s="34" t="str">
        <f aca="false">IF(ISNUMBER(G179),G176+G180/(1+G162)^IF(ISNUMBER(G149),MAX(0,G149-2027),0),"unresolved")</f>
        <v>unresolved</v>
      </c>
    </row>
    <row r="192" customFormat="false" ht="15" hidden="false" customHeight="true" outlineLevel="0" collapsed="false">
      <c r="A192" s="13" t="s">
        <v>671</v>
      </c>
      <c r="F192" s="28" t="str">
        <f aca="false">IFERROR(F191/D49,"n/a")</f>
        <v>n/a</v>
      </c>
      <c r="G192" s="28" t="str">
        <f aca="false">IFERROR(G191/D105,"n/a")</f>
        <v>n/a</v>
      </c>
    </row>
    <row r="193" customFormat="false" ht="15" hidden="false" customHeight="true" outlineLevel="0" collapsed="false">
      <c r="A193" s="13" t="s">
        <v>672</v>
      </c>
      <c r="F193" s="25" t="n">
        <f aca="false">(F168+F174)/F178</f>
        <v>-4.8415988712762</v>
      </c>
      <c r="G193" s="25" t="n">
        <f aca="false">(G168+G174)/G178</f>
        <v>4.21689572139574</v>
      </c>
    </row>
    <row r="194" customFormat="false" ht="15" hidden="false" customHeight="true" outlineLevel="0" collapsed="false">
      <c r="A194" s="13" t="s">
        <v>673</v>
      </c>
      <c r="F194" s="25" t="n">
        <f aca="false">(F170+F174)/F178</f>
        <v>-6.61472166826978</v>
      </c>
      <c r="G194" s="25" t="n">
        <f aca="false">(G170+G174)/G178</f>
        <v>1.30414109072318</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683</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Historicals!F35+(Inputs!$B$5+Inputs!$J$60)</f>
        <v>54228</v>
      </c>
      <c r="D5" s="34" t="n">
        <f aca="false">C5*(1+Inputs!$J$62)</f>
        <v>108456</v>
      </c>
      <c r="E5" s="34" t="n">
        <f aca="false">D5*(1+Inputs!$J$63)</f>
        <v>168106.8</v>
      </c>
      <c r="F5" s="34" t="n">
        <f aca="false">E5*(1+Inputs!$J$64)</f>
        <v>226944.18</v>
      </c>
      <c r="G5" s="34" t="n">
        <f aca="false">F5*(1+Inputs!$J$65)</f>
        <v>283680.225</v>
      </c>
    </row>
    <row r="6" customFormat="false" ht="15" hidden="false" customHeight="true" outlineLevel="0" collapsed="false">
      <c r="A6" s="13" t="s">
        <v>551</v>
      </c>
      <c r="C6" s="16" t="n">
        <f aca="false">IFERROR(C5/B5-1,0)</f>
        <v>10.8272628135224</v>
      </c>
      <c r="D6" s="16" t="n">
        <f aca="false">IFERROR(D5/C5-1,0)</f>
        <v>1</v>
      </c>
      <c r="E6" s="16" t="n">
        <f aca="false">IFERROR(E5/D5-1,0)</f>
        <v>0.55</v>
      </c>
      <c r="F6" s="16" t="n">
        <f aca="false">IFERROR(F5/E5-1,0)</f>
        <v>0.35</v>
      </c>
      <c r="G6" s="16" t="n">
        <f aca="false">IFERROR(G5/F5-1,0)</f>
        <v>0.25</v>
      </c>
    </row>
    <row r="7" customFormat="false" ht="15" hidden="false" customHeight="true" outlineLevel="0" collapsed="false">
      <c r="A7" s="13" t="s">
        <v>552</v>
      </c>
      <c r="B7" s="41" t="n">
        <f aca="false">Historicals!D51</f>
        <v>789</v>
      </c>
      <c r="C7" s="34" t="n">
        <f aca="false">Historicals!F51+(Inputs!$B$5+Inputs!$J$60)*Historicals!F51/Historicals!F35</f>
        <v>10728.3934667813</v>
      </c>
      <c r="D7" s="34" t="n">
        <f aca="false">D5*Inputs!$J$61</f>
        <v>21691.2</v>
      </c>
      <c r="E7" s="34" t="n">
        <f aca="false">E5*Inputs!$J$61</f>
        <v>33621.36</v>
      </c>
      <c r="F7" s="34" t="n">
        <f aca="false">F5*Inputs!$J$61</f>
        <v>45388.836</v>
      </c>
      <c r="G7" s="34" t="n">
        <f aca="false">G5*Inputs!$J$61</f>
        <v>56736.045</v>
      </c>
    </row>
    <row r="8" customFormat="false" ht="15" hidden="false" customHeight="true" outlineLevel="0" collapsed="false">
      <c r="A8" s="13" t="s">
        <v>553</v>
      </c>
      <c r="B8" s="34" t="n">
        <f aca="false">B5-B7</f>
        <v>3796</v>
      </c>
      <c r="C8" s="34" t="n">
        <f aca="false">C5-C7</f>
        <v>43499.6065332187</v>
      </c>
      <c r="D8" s="34" t="n">
        <f aca="false">D5-D7</f>
        <v>86764.8</v>
      </c>
      <c r="E8" s="34" t="n">
        <f aca="false">E5-E7</f>
        <v>134485.44</v>
      </c>
      <c r="F8" s="34" t="n">
        <f aca="false">F5-F7</f>
        <v>181555.344</v>
      </c>
      <c r="G8" s="34" t="n">
        <f aca="false">G5-G7</f>
        <v>226944.18</v>
      </c>
    </row>
    <row r="10" customFormat="false" ht="15" hidden="false" customHeight="true" outlineLevel="0" collapsed="false">
      <c r="A10" s="13" t="s">
        <v>250</v>
      </c>
      <c r="B10" s="41" t="n">
        <f aca="false">Historicals!D36</f>
        <v>7326</v>
      </c>
      <c r="C10" s="34" t="n">
        <f aca="false">Historicals!F36+(Inputs!$B$5+Inputs!$J$60)*Inputs!$J$66</f>
        <v>26018.9</v>
      </c>
      <c r="D10" s="34" t="n">
        <f aca="false">C10*(1+Inputs!$J$67)</f>
        <v>44232.13</v>
      </c>
      <c r="E10" s="34" t="n">
        <f aca="false">D10*(1+Inputs!$J$68)</f>
        <v>64136.5885</v>
      </c>
      <c r="F10" s="34" t="n">
        <f aca="false">E10*(1+Inputs!$J$69)</f>
        <v>83377.56505</v>
      </c>
      <c r="G10" s="34" t="n">
        <f aca="false">F10*(1+Inputs!$J$70)</f>
        <v>100053.07806</v>
      </c>
    </row>
    <row r="11" customFormat="false" ht="15" hidden="false" customHeight="true" outlineLevel="0" collapsed="false">
      <c r="A11" s="13" t="s">
        <v>251</v>
      </c>
      <c r="B11" s="41" t="n">
        <f aca="false">Historicals!D37</f>
        <v>1839</v>
      </c>
      <c r="C11" s="34" t="n">
        <f aca="false">Historicals!F37+(Inputs!$B$5+Inputs!$J$60)*Historicals!G24</f>
        <v>9249.6455214193</v>
      </c>
      <c r="D11" s="34" t="n">
        <f aca="false">D5*Inputs!$J$71</f>
        <v>15183.84</v>
      </c>
      <c r="E11" s="34" t="n">
        <f aca="false">E5*Inputs!$J$72</f>
        <v>21853.884</v>
      </c>
      <c r="F11" s="34" t="n">
        <f aca="false">F5*Inputs!$J$73</f>
        <v>27233.3016</v>
      </c>
      <c r="G11" s="34" t="n">
        <f aca="false">G5*Inputs!$J$74</f>
        <v>31204.82475</v>
      </c>
    </row>
    <row r="12" customFormat="false" ht="15" hidden="false" customHeight="true" outlineLevel="0" collapsed="false">
      <c r="A12" s="13" t="s">
        <v>554</v>
      </c>
      <c r="B12" s="41" t="n">
        <f aca="false">Historicals!D49</f>
        <v>1158</v>
      </c>
      <c r="C12" s="34" t="n">
        <f aca="false">Historicals!F49+(Inputs!$B$5+Inputs!$J$60)*Historicals!G29</f>
        <v>6325.61981826049</v>
      </c>
      <c r="D12" s="34" t="n">
        <f aca="false">D5*Inputs!$J$75</f>
        <v>9761.04</v>
      </c>
      <c r="E12" s="34" t="n">
        <f aca="false">E5*Inputs!$J$76</f>
        <v>13448.544</v>
      </c>
      <c r="F12" s="34" t="n">
        <f aca="false">F5*Inputs!$J$77</f>
        <v>15886.0926</v>
      </c>
      <c r="G12" s="34" t="n">
        <f aca="false">G5*Inputs!$J$78</f>
        <v>17020.8135</v>
      </c>
    </row>
    <row r="13" customFormat="false" ht="15" hidden="false" customHeight="true" outlineLevel="0" collapsed="false">
      <c r="A13" s="13" t="s">
        <v>555</v>
      </c>
      <c r="B13" s="41" t="n">
        <f aca="false">Historicals!D39</f>
        <v>568</v>
      </c>
      <c r="C13" s="34" t="n">
        <f aca="false">Historicals!F39+(Inputs!$B$5+Inputs!$J$60)*Historicals!G25</f>
        <v>10178.486369537</v>
      </c>
      <c r="D13" s="34" t="n">
        <f aca="false">D5*Inputs!$J$79</f>
        <v>18437.52</v>
      </c>
      <c r="E13" s="34" t="n">
        <f aca="false">E5*Inputs!$J$80</f>
        <v>26897.088</v>
      </c>
      <c r="F13" s="34" t="n">
        <f aca="false">F5*Inputs!$J$81</f>
        <v>34041.627</v>
      </c>
      <c r="G13" s="34" t="n">
        <f aca="false">G5*Inputs!$J$82</f>
        <v>42552.03375</v>
      </c>
    </row>
    <row r="14" customFormat="false" ht="15" hidden="false" customHeight="true" outlineLevel="0" collapsed="false">
      <c r="A14" s="13" t="s">
        <v>556</v>
      </c>
      <c r="B14" s="41" t="n">
        <f aca="false">Historicals!D40</f>
        <v>1412</v>
      </c>
      <c r="C14" s="34" t="n">
        <f aca="false">Historicals!F40+(Inputs!$B$5+Inputs!$J$60)*Historicals!G26</f>
        <v>5099.39177845089</v>
      </c>
      <c r="D14" s="34" t="n">
        <f aca="false">D5*Inputs!$J$83</f>
        <v>8676.48</v>
      </c>
      <c r="E14" s="34" t="n">
        <f aca="false">E5*Inputs!$J$84</f>
        <v>11767.476</v>
      </c>
      <c r="F14" s="34" t="n">
        <f aca="false">F5*Inputs!$J$85</f>
        <v>13616.6508</v>
      </c>
      <c r="G14" s="34" t="n">
        <f aca="false">G5*Inputs!$J$86</f>
        <v>17020.8135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86529.97</v>
      </c>
      <c r="E16" s="36" t="n">
        <f aca="false">E10+E11+E13+E14+E15</f>
        <v>124655.0365</v>
      </c>
      <c r="F16" s="36" t="n">
        <f aca="false">F10+F11+F13+F14+F15</f>
        <v>158269.14445</v>
      </c>
      <c r="G16" s="36" t="n">
        <f aca="false">G10+G11+G13+G14+G15</f>
        <v>190830.75006</v>
      </c>
    </row>
    <row r="17" customFormat="false" ht="15" hidden="false" customHeight="true" outlineLevel="0" collapsed="false">
      <c r="A17" s="10" t="s">
        <v>558</v>
      </c>
      <c r="B17" s="35" t="n">
        <f aca="false">B5-B16</f>
        <v>-8060</v>
      </c>
      <c r="C17" s="35" t="n">
        <f aca="false">C5-C16</f>
        <v>1681.57633059282</v>
      </c>
      <c r="D17" s="35" t="n">
        <f aca="false">D5-D16</f>
        <v>21926.03</v>
      </c>
      <c r="E17" s="35" t="n">
        <f aca="false">E5-E16</f>
        <v>43451.7635</v>
      </c>
      <c r="F17" s="35" t="n">
        <f aca="false">F5-F16</f>
        <v>68675.03555</v>
      </c>
      <c r="G17" s="35" t="n">
        <f aca="false">G5-G16</f>
        <v>92849.4749400001</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0.202165209854688</v>
      </c>
      <c r="E18" s="16" t="n">
        <f aca="false">IFERROR(E17/E5,0)</f>
        <v>0.258477131799546</v>
      </c>
      <c r="F18" s="16" t="n">
        <f aca="false">IFERROR(F17/F5,0)</f>
        <v>0.302607608399563</v>
      </c>
      <c r="G18" s="16" t="n">
        <f aca="false">IFERROR(G17/G5,0)</f>
        <v>0.327303304063581</v>
      </c>
    </row>
    <row r="19" customFormat="false" ht="15" hidden="false" customHeight="true" outlineLevel="0" collapsed="false">
      <c r="A19" s="13" t="s">
        <v>560</v>
      </c>
      <c r="B19" s="16" t="n">
        <f aca="false">IFERROR(B10/B5,0)</f>
        <v>1.59781897491821</v>
      </c>
      <c r="C19" s="16" t="n">
        <f aca="false">IFERROR(C10/C5,0)</f>
        <v>0.479805635465073</v>
      </c>
      <c r="D19" s="16" t="n">
        <f aca="false">IFERROR(D10/D5,0)</f>
        <v>0.407834790145312</v>
      </c>
      <c r="E19" s="16" t="n">
        <f aca="false">IFERROR(E10/E5,0)</f>
        <v>0.381522868200454</v>
      </c>
      <c r="F19" s="16" t="n">
        <f aca="false">IFERROR(F10/F5,0)</f>
        <v>0.367392391600437</v>
      </c>
      <c r="G19" s="16" t="n">
        <f aca="false">IFERROR(G10/G5,0)</f>
        <v>0.352696695936419</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1/(1+Inputs!$B$19+Inputs!$J$89)^1</f>
        <v>0.892857142857143</v>
      </c>
      <c r="E21" s="52" t="n">
        <f aca="false">1/(1+Inputs!$B$19+Inputs!$J$89)^2</f>
        <v>0.79719387755102</v>
      </c>
      <c r="F21" s="52" t="n">
        <f aca="false">1/(1+Inputs!$B$19+Inputs!$J$89)^3</f>
        <v>0.711780247813411</v>
      </c>
      <c r="G21" s="52" t="n">
        <f aca="false">1/(1+Inputs!$B$19+Inputs!$J$89)^4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2169.12</v>
      </c>
      <c r="E25" s="34" t="n">
        <f aca="false">E5*E24</f>
        <v>8405.34</v>
      </c>
      <c r="F25" s="34" t="n">
        <f aca="false">F5*F24</f>
        <v>22694.418</v>
      </c>
      <c r="G25" s="34" t="n">
        <f aca="false">G5*G24</f>
        <v>42552.03375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17352.96</v>
      </c>
      <c r="E27" s="34" t="n">
        <f aca="false">E25*E26</f>
        <v>67242.72</v>
      </c>
      <c r="F27" s="34" t="n">
        <f aca="false">F25*F26</f>
        <v>181555.344</v>
      </c>
      <c r="G27" s="34" t="n">
        <f aca="false">G25*G26</f>
        <v>340416.27</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2602.944</v>
      </c>
      <c r="E29" s="36" t="n">
        <f aca="false">E27*E28</f>
        <v>10086.408</v>
      </c>
      <c r="F29" s="36" t="n">
        <f aca="false">F27*F28</f>
        <v>27233.3016</v>
      </c>
      <c r="G29" s="36" t="n">
        <f aca="false">G27*G28</f>
        <v>51062.4405</v>
      </c>
    </row>
    <row r="30" customFormat="false" ht="15" hidden="false" customHeight="true" outlineLevel="0" collapsed="false">
      <c r="A30" s="13" t="s">
        <v>570</v>
      </c>
      <c r="C30" s="34" t="n">
        <f aca="false">C25*Inputs!$C$103</f>
        <v>0</v>
      </c>
      <c r="D30" s="34" t="n">
        <f aca="false">D25*Inputs!$C$103</f>
        <v>650.736</v>
      </c>
      <c r="E30" s="34" t="n">
        <f aca="false">E25*Inputs!$C$103</f>
        <v>2521.602</v>
      </c>
      <c r="F30" s="34" t="n">
        <f aca="false">F25*Inputs!$C$103</f>
        <v>6808.3254</v>
      </c>
      <c r="G30" s="34" t="n">
        <f aca="false">G25*Inputs!$C$103</f>
        <v>12765.610125</v>
      </c>
    </row>
    <row r="31" customFormat="false" ht="15" hidden="false" customHeight="true" outlineLevel="0" collapsed="false">
      <c r="A31" s="13" t="s">
        <v>571</v>
      </c>
      <c r="C31" s="34" t="n">
        <f aca="false">C29-C30</f>
        <v>0</v>
      </c>
      <c r="D31" s="34" t="n">
        <f aca="false">D29-D30</f>
        <v>1952.208</v>
      </c>
      <c r="E31" s="34" t="n">
        <f aca="false">E29-E30</f>
        <v>7564.806</v>
      </c>
      <c r="F31" s="34" t="n">
        <f aca="false">F29-F30</f>
        <v>20424.9762</v>
      </c>
      <c r="G31" s="34" t="n">
        <f aca="false">G29-G30</f>
        <v>38296.830375</v>
      </c>
    </row>
    <row r="32" customFormat="false" ht="15" hidden="false" customHeight="true" outlineLevel="0" collapsed="false">
      <c r="A32" s="13" t="s">
        <v>572</v>
      </c>
      <c r="C32" s="34" t="n">
        <f aca="false">C29*Inputs!$C$104</f>
        <v>0</v>
      </c>
      <c r="D32" s="34" t="n">
        <f aca="false">D29*Inputs!$C$104</f>
        <v>520.5888</v>
      </c>
      <c r="E32" s="34" t="n">
        <f aca="false">E29*Inputs!$C$104</f>
        <v>2017.2816</v>
      </c>
      <c r="F32" s="34" t="n">
        <f aca="false">F29*Inputs!$C$104</f>
        <v>5446.66032</v>
      </c>
      <c r="G32" s="34" t="n">
        <f aca="false">G29*Inputs!$C$104</f>
        <v>10212.4881</v>
      </c>
    </row>
    <row r="33" customFormat="false" ht="15" hidden="false" customHeight="true" outlineLevel="0" collapsed="false">
      <c r="A33" s="13" t="s">
        <v>573</v>
      </c>
      <c r="C33" s="34" t="n">
        <f aca="false">C29*Inputs!$C$105</f>
        <v>0</v>
      </c>
      <c r="D33" s="34" t="n">
        <f aca="false">D29*Inputs!$C$105</f>
        <v>390.4416</v>
      </c>
      <c r="E33" s="34" t="n">
        <f aca="false">E29*Inputs!$C$105</f>
        <v>1512.9612</v>
      </c>
      <c r="F33" s="34" t="n">
        <f aca="false">F29*Inputs!$C$105</f>
        <v>4084.99524</v>
      </c>
      <c r="G33" s="34" t="n">
        <f aca="false">G29*Inputs!$C$105</f>
        <v>7659.366075</v>
      </c>
    </row>
    <row r="34" customFormat="false" ht="15" hidden="false" customHeight="true" outlineLevel="0" collapsed="false">
      <c r="A34" s="13" t="s">
        <v>574</v>
      </c>
      <c r="C34" s="34" t="n">
        <f aca="false">C29*Inputs!$C$106</f>
        <v>0</v>
      </c>
      <c r="D34" s="34" t="n">
        <f aca="false">D29*Inputs!$C$106</f>
        <v>260.2944</v>
      </c>
      <c r="E34" s="34" t="n">
        <f aca="false">E29*Inputs!$C$106</f>
        <v>1008.6408</v>
      </c>
      <c r="F34" s="34" t="n">
        <f aca="false">F29*Inputs!$C$106</f>
        <v>2723.33016</v>
      </c>
      <c r="G34" s="34" t="n">
        <f aca="false">G29*Inputs!$C$106</f>
        <v>5106.24405</v>
      </c>
    </row>
    <row r="35" customFormat="false" ht="15" hidden="false" customHeight="true" outlineLevel="0" collapsed="false">
      <c r="A35" s="10" t="s">
        <v>575</v>
      </c>
      <c r="C35" s="35" t="n">
        <f aca="false">C29-C30-C32-C33-C34</f>
        <v>0</v>
      </c>
      <c r="D35" s="35" t="n">
        <f aca="false">D29-D30-D32-D33-D34</f>
        <v>780.8832</v>
      </c>
      <c r="E35" s="35" t="n">
        <f aca="false">E29-E30-E32-E33-E34</f>
        <v>3025.9224</v>
      </c>
      <c r="F35" s="35" t="n">
        <f aca="false">F29-F30-F32-F33-F34</f>
        <v>8169.99048</v>
      </c>
      <c r="G35" s="35" t="n">
        <f aca="false">G29-G30-G32-G33-G34</f>
        <v>15318.73215</v>
      </c>
    </row>
    <row r="36" customFormat="false" ht="15" hidden="false" customHeight="true" outlineLevel="0" collapsed="false">
      <c r="A36" s="13" t="s">
        <v>91</v>
      </c>
      <c r="C36" s="54" t="n">
        <f aca="false">IFERROR(C27/Inputs!$B$27,0)</f>
        <v>0</v>
      </c>
      <c r="D36" s="54" t="n">
        <f aca="false">IFERROR(D27/Inputs!$B$27,0)</f>
        <v>0.000433824</v>
      </c>
      <c r="E36" s="54" t="n">
        <f aca="false">IFERROR(E27/Inputs!$B$27,0)</f>
        <v>0.001681068</v>
      </c>
      <c r="F36" s="54" t="n">
        <f aca="false">IFERROR(F27/Inputs!$B$27,0)</f>
        <v>0.0045388836</v>
      </c>
      <c r="G36" s="54" t="n">
        <f aca="false">IFERROR(G27/Inputs!$B$27,0)</f>
        <v>0.00851040675</v>
      </c>
    </row>
    <row r="37" customFormat="false" ht="15" hidden="false" customHeight="true" outlineLevel="0" collapsed="false">
      <c r="A37" s="13" t="s">
        <v>576</v>
      </c>
      <c r="C37" s="34" t="n">
        <f aca="false">CHOOSE(Inputs!$B$35,C31*Inputs!B$55,C29*Inputs!$B$36,0)</f>
        <v>0</v>
      </c>
      <c r="D37" s="34" t="n">
        <f aca="false">CHOOSE(Inputs!$B$35,D31*Inputs!C$55,D29*Inputs!$B$36,0)</f>
        <v>78.08832</v>
      </c>
      <c r="E37" s="34" t="n">
        <f aca="false">CHOOSE(Inputs!$B$35,E31*Inputs!D$55,E29*Inputs!$B$36,0)</f>
        <v>378.2403</v>
      </c>
      <c r="F37" s="34" t="n">
        <f aca="false">CHOOSE(Inputs!$B$35,F31*Inputs!E$55,F29*Inputs!$B$36,0)</f>
        <v>1021.24881</v>
      </c>
      <c r="G37" s="34" t="n">
        <f aca="false">CHOOSE(Inputs!$B$35,G31*Inputs!F$55,G29*Inputs!$B$36,0)</f>
        <v>1914.84151875</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Inputs!$J$92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44232.13</v>
      </c>
      <c r="E44" s="34" t="n">
        <f aca="false">E10*Inputs!$B$39</f>
        <v>64136.5885</v>
      </c>
      <c r="F44" s="34" t="n">
        <f aca="false">F10*Inputs!$B$39</f>
        <v>83377.56505</v>
      </c>
      <c r="G44" s="34" t="n">
        <f aca="false">G10*Inputs!$B$39</f>
        <v>100053.07806</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108456</v>
      </c>
      <c r="E49" s="34" t="n">
        <f aca="false">E5</f>
        <v>168106.8</v>
      </c>
      <c r="F49" s="34" t="n">
        <f aca="false">F5</f>
        <v>226944.18</v>
      </c>
      <c r="G49" s="34" t="n">
        <f aca="false">G5</f>
        <v>283680.225</v>
      </c>
    </row>
    <row r="50" customFormat="false" ht="15" hidden="false" customHeight="true" outlineLevel="0" collapsed="false">
      <c r="A50" s="13" t="s">
        <v>558</v>
      </c>
      <c r="C50" s="34" t="n">
        <f aca="false">C17</f>
        <v>1681.57633059282</v>
      </c>
      <c r="D50" s="34" t="n">
        <f aca="false">D17</f>
        <v>21926.03</v>
      </c>
      <c r="E50" s="34" t="n">
        <f aca="false">E17</f>
        <v>43451.7635</v>
      </c>
      <c r="F50" s="34" t="n">
        <f aca="false">F17</f>
        <v>68675.03555</v>
      </c>
      <c r="G50" s="34" t="n">
        <f aca="false">G17</f>
        <v>92849.4749400001</v>
      </c>
    </row>
    <row r="51" customFormat="false" ht="15" hidden="false" customHeight="true" outlineLevel="0" collapsed="false">
      <c r="A51" s="13" t="s">
        <v>586</v>
      </c>
      <c r="C51" s="34" t="n">
        <f aca="false">C5*Inputs!B$55</f>
        <v>1626.84</v>
      </c>
      <c r="D51" s="34" t="n">
        <f aca="false">D5*Inputs!C$55</f>
        <v>4338.24</v>
      </c>
      <c r="E51" s="34" t="n">
        <f aca="false">E5*Inputs!D$55</f>
        <v>8405.34</v>
      </c>
      <c r="F51" s="34" t="n">
        <f aca="false">F5*Inputs!E$55</f>
        <v>11347.209</v>
      </c>
      <c r="G51" s="34" t="n">
        <f aca="false">G5*Inputs!F$55</f>
        <v>14184.01125</v>
      </c>
    </row>
    <row r="52" customFormat="false" ht="15" hidden="false" customHeight="true" outlineLevel="0" collapsed="false">
      <c r="A52" s="13" t="s">
        <v>587</v>
      </c>
      <c r="C52" s="33" t="n">
        <v>0</v>
      </c>
      <c r="D52" s="34" t="n">
        <f aca="false">SUMPRODUCT($D51:D51,--((4-COLUMN($D51:D51))&lt;Inputs!$B$32))/Inputs!$B$32</f>
        <v>867.648</v>
      </c>
      <c r="E52" s="34" t="n">
        <f aca="false">SUMPRODUCT($D51:E51,--((5-COLUMN($D51:E51))&lt;Inputs!$B$32))/Inputs!$B$32</f>
        <v>2548.716</v>
      </c>
      <c r="F52" s="34" t="n">
        <f aca="false">SUMPRODUCT($D51:F51,--((6-COLUMN($D51:F51))&lt;Inputs!$B$32))/Inputs!$B$32</f>
        <v>4818.1578</v>
      </c>
      <c r="G52" s="34" t="n">
        <f aca="false">SUMPRODUCT($D51:G51,--((7-COLUMN($D51:G51))&lt;Inputs!$B$32))/Inputs!$B$32</f>
        <v>7654.96005</v>
      </c>
    </row>
    <row r="53" customFormat="false" ht="15" hidden="false" customHeight="true" outlineLevel="0" collapsed="false">
      <c r="A53" s="10" t="s">
        <v>588</v>
      </c>
      <c r="C53" s="36" t="n">
        <f aca="false">C50-C52</f>
        <v>1681.57633059282</v>
      </c>
      <c r="D53" s="36" t="n">
        <f aca="false">D50-D52</f>
        <v>21058.382</v>
      </c>
      <c r="E53" s="36" t="n">
        <f aca="false">E50-E52</f>
        <v>40903.0475</v>
      </c>
      <c r="F53" s="36" t="n">
        <f aca="false">F50-F52</f>
        <v>63856.87775</v>
      </c>
      <c r="G53" s="36" t="n">
        <f aca="false">G50-G52</f>
        <v>85194.5148900001</v>
      </c>
    </row>
    <row r="54" customFormat="false" ht="15" hidden="false" customHeight="true" outlineLevel="0" collapsed="false">
      <c r="A54" s="13" t="s">
        <v>589</v>
      </c>
      <c r="C54" s="16" t="n">
        <f aca="false">IFERROR(C53/C49,0)</f>
        <v>0.0310093739505942</v>
      </c>
      <c r="D54" s="16" t="n">
        <f aca="false">IFERROR(D53/D49,0)</f>
        <v>0.194165209854688</v>
      </c>
      <c r="E54" s="16" t="n">
        <f aca="false">IFERROR(E53/E49,0)</f>
        <v>0.243315841476966</v>
      </c>
      <c r="F54" s="16" t="n">
        <f aca="false">IFERROR(F53/F49,0)</f>
        <v>0.28137702297543</v>
      </c>
      <c r="G54" s="16" t="n">
        <f aca="false">IFERROR(G53/G49,0)</f>
        <v>0.300318835724274</v>
      </c>
    </row>
    <row r="55" customFormat="false" ht="15" hidden="false" customHeight="true" outlineLevel="0" collapsed="false">
      <c r="A55" s="13" t="s">
        <v>590</v>
      </c>
      <c r="C55" s="34" t="n">
        <f aca="false">Historicals!F43+C80*Inputs!$B$20/2</f>
        <v>2756.6375</v>
      </c>
      <c r="D55" s="34" t="n">
        <f aca="false">MAX(0,D80-D81)*Inputs!$B$20</f>
        <v>3507.94776314153</v>
      </c>
      <c r="E55" s="34" t="n">
        <f aca="false">MAX(0,E80-E81)*Inputs!$B$20</f>
        <v>4159.62575483859</v>
      </c>
      <c r="F55" s="34" t="n">
        <f aca="false">MAX(0,F80-F81)*Inputs!$B$20</f>
        <v>5200.96407880063</v>
      </c>
      <c r="G55" s="34" t="n">
        <f aca="false">MAX(0,G80-G81)*Inputs!$B$20</f>
        <v>6739.86233927111</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24566.3297631415</v>
      </c>
      <c r="E58" s="34" t="n">
        <f aca="false">E53+E55+E56-E57</f>
        <v>45062.6732548386</v>
      </c>
      <c r="F58" s="34" t="n">
        <f aca="false">F53+F55+F56-F57</f>
        <v>69057.8418288007</v>
      </c>
      <c r="G58" s="34" t="n">
        <f aca="false">G53+G55+G56-G57</f>
        <v>91934.3772292712</v>
      </c>
    </row>
    <row r="59" customFormat="false" ht="15" hidden="false" customHeight="true" outlineLevel="0" collapsed="false">
      <c r="A59" s="13" t="s">
        <v>594</v>
      </c>
      <c r="C59" s="34" t="n">
        <f aca="false">C58*Inputs!$B$46</f>
        <v>3195.51395802683</v>
      </c>
      <c r="D59" s="34" t="n">
        <f aca="false">D58*Inputs!$B$46</f>
        <v>17687.7574294619</v>
      </c>
      <c r="E59" s="34" t="n">
        <f aca="false">E58*Inputs!$B$46</f>
        <v>32445.1247434838</v>
      </c>
      <c r="F59" s="34" t="n">
        <f aca="false">F58*Inputs!$B$46</f>
        <v>49721.6461167365</v>
      </c>
      <c r="G59" s="34" t="n">
        <f aca="false">G58*Inputs!$B$46</f>
        <v>66192.7516050753</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191.73083748161</v>
      </c>
      <c r="D63" s="34" t="n">
        <f aca="false">MAX(0,D59-D61)*Inputs!$B$47</f>
        <v>809.265445767714</v>
      </c>
      <c r="E63" s="34" t="n">
        <f aca="false">MAX(0,E59-E61)*Inputs!$B$47</f>
        <v>1946.70748460903</v>
      </c>
      <c r="F63" s="34" t="n">
        <f aca="false">MAX(0,F59-F61)*Inputs!$B$47</f>
        <v>2983.29876700419</v>
      </c>
      <c r="G63" s="34" t="n">
        <f aca="false">MAX(0,G59-G61)*Inputs!$B$47</f>
        <v>3971.56509630452</v>
      </c>
    </row>
    <row r="64" customFormat="false" ht="15" hidden="false" customHeight="true" outlineLevel="0" collapsed="false">
      <c r="A64" s="13" t="s">
        <v>599</v>
      </c>
      <c r="C64" s="34" t="n">
        <f aca="false">C58-C63</f>
        <v>4246.48299311121</v>
      </c>
      <c r="D64" s="34" t="n">
        <f aca="false">D58-D63</f>
        <v>23757.0643173738</v>
      </c>
      <c r="E64" s="34" t="n">
        <f aca="false">E58-E63</f>
        <v>43115.9657702296</v>
      </c>
      <c r="F64" s="34" t="n">
        <f aca="false">F58-F63</f>
        <v>66074.5430617965</v>
      </c>
      <c r="G64" s="34" t="n">
        <f aca="false">G58-G63</f>
        <v>87962.8121329667</v>
      </c>
    </row>
    <row r="65" customFormat="false" ht="15" hidden="false" customHeight="true" outlineLevel="0" collapsed="false">
      <c r="A65" s="13" t="s">
        <v>600</v>
      </c>
      <c r="C65" s="34" t="n">
        <f aca="false">Inputs!$B$44</f>
        <v>8200</v>
      </c>
      <c r="D65" s="34" t="n">
        <f aca="false">C67</f>
        <v>4802.81360551103</v>
      </c>
      <c r="E65" s="34" t="n">
        <f aca="false">D67</f>
        <v>0</v>
      </c>
      <c r="F65" s="34" t="n">
        <f aca="false">E67</f>
        <v>0</v>
      </c>
      <c r="G65" s="34" t="n">
        <f aca="false">F67</f>
        <v>0</v>
      </c>
    </row>
    <row r="66" customFormat="false" ht="15" hidden="false" customHeight="true" outlineLevel="0" collapsed="false">
      <c r="A66" s="13" t="s">
        <v>601</v>
      </c>
      <c r="C66" s="34" t="n">
        <f aca="false">MIN(C65,Inputs!$B$45*MAX(0,C64))</f>
        <v>3397.18639448897</v>
      </c>
      <c r="D66" s="34" t="n">
        <f aca="false">MIN(D65,Inputs!$B$45*MAX(0,D64))</f>
        <v>4802.81360551103</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0</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178.352285710671</v>
      </c>
      <c r="D68" s="34" t="n">
        <f aca="false">MAX(0,D64-D66)*Inputs!$B$43</f>
        <v>3980.39264949118</v>
      </c>
      <c r="E68" s="34" t="n">
        <f aca="false">MAX(0,E64-E66)*Inputs!$B$43</f>
        <v>9054.35281174821</v>
      </c>
      <c r="F68" s="34" t="n">
        <f aca="false">MAX(0,F64-F66)*Inputs!$B$43</f>
        <v>13875.6540429773</v>
      </c>
      <c r="G68" s="34" t="n">
        <f aca="false">MAX(0,G64-G66)*Inputs!$B$43</f>
        <v>18472.190547923</v>
      </c>
    </row>
    <row r="69" customFormat="false" ht="15" hidden="false" customHeight="true" outlineLevel="0" collapsed="false">
      <c r="A69" s="10" t="s">
        <v>604</v>
      </c>
      <c r="C69" s="36" t="n">
        <f aca="false">IF(Inputs!$J$90=0,MAX(0,C53+C55)*Inputs!B$54,IF(Inputs!$J$90=2,MAX(0,C58)*Inputs!$J$91,C63+C68))</f>
        <v>370.083123192281</v>
      </c>
      <c r="D69" s="36" t="n">
        <f aca="false">IF(Inputs!$J$90=0,MAX(0,D53+D55)*Inputs!C$54,IF(Inputs!$J$90=2,MAX(0,D58)*Inputs!$J$91,D63+D68))</f>
        <v>4789.6580952589</v>
      </c>
      <c r="E69" s="36" t="n">
        <f aca="false">IF(Inputs!$J$90=0,MAX(0,E53+E55)*Inputs!D$54,IF(Inputs!$J$90=2,MAX(0,E58)*Inputs!$J$91,E63+E68))</f>
        <v>11001.0602963572</v>
      </c>
      <c r="F69" s="36" t="n">
        <f aca="false">IF(Inputs!$J$90=0,MAX(0,F53+F55)*Inputs!E$54,IF(Inputs!$J$90=2,MAX(0,F58)*Inputs!$J$91,F63+F68))</f>
        <v>16858.9528099814</v>
      </c>
      <c r="G69" s="36" t="n">
        <f aca="false">IF(Inputs!$J$90=0,MAX(0,G53+G55)*Inputs!F$54,IF(Inputs!$J$90=2,MAX(0,G58)*Inputs!$J$91,G63+G68))</f>
        <v>22443.7556442275</v>
      </c>
    </row>
    <row r="70" customFormat="false" ht="15" hidden="false" customHeight="true" outlineLevel="0" collapsed="false">
      <c r="A70" s="13" t="s">
        <v>605</v>
      </c>
      <c r="C70" s="16" t="n">
        <f aca="false">IF(C58&gt;0,MIN(1,C69/C58),0)</f>
        <v>0.0833856</v>
      </c>
      <c r="D70" s="16" t="n">
        <f aca="false">IF(D58&gt;0,MIN(1,D69/D58),0)</f>
        <v>0.194968403560435</v>
      </c>
      <c r="E70" s="16" t="n">
        <f aca="false">IF(E58&gt;0,MIN(1,E69/E58),0)</f>
        <v>0.244128</v>
      </c>
      <c r="F70" s="16" t="n">
        <f aca="false">IF(F58&gt;0,MIN(1,F69/F58),0)</f>
        <v>0.244128</v>
      </c>
      <c r="G70" s="16" t="n">
        <f aca="false">IF(G58&gt;0,MIN(1,G69/G58),0)</f>
        <v>0.244128</v>
      </c>
    </row>
    <row r="71" customFormat="false" ht="15" hidden="false" customHeight="true" outlineLevel="0" collapsed="false">
      <c r="A71" s="13" t="s">
        <v>606</v>
      </c>
      <c r="C71" s="34" t="n">
        <f aca="false">C53+C55-C69</f>
        <v>4068.13070740054</v>
      </c>
      <c r="D71" s="34" t="n">
        <f aca="false">D53+D55-D69</f>
        <v>19776.6716678826</v>
      </c>
      <c r="E71" s="34" t="n">
        <f aca="false">E53+E55-E69</f>
        <v>34061.6129584814</v>
      </c>
      <c r="F71" s="34" t="n">
        <f aca="false">F53+F55-F69</f>
        <v>52198.8890188192</v>
      </c>
      <c r="G71" s="34" t="n">
        <f aca="false">G53+G55-G69</f>
        <v>69490.6215850437</v>
      </c>
    </row>
    <row r="72" customFormat="false" ht="15" hidden="false" customHeight="true" outlineLevel="0" collapsed="false">
      <c r="A72" s="13" t="s">
        <v>607</v>
      </c>
      <c r="C72" s="34" t="n">
        <f aca="false">C12+C20</f>
        <v>8451.61981826049</v>
      </c>
      <c r="D72" s="34" t="n">
        <f aca="false">D12+D20</f>
        <v>9761.04</v>
      </c>
      <c r="E72" s="34" t="n">
        <f aca="false">E12+E20</f>
        <v>13448.544</v>
      </c>
      <c r="F72" s="34" t="n">
        <f aca="false">F12+F20</f>
        <v>15886.0926</v>
      </c>
      <c r="G72" s="34" t="n">
        <f aca="false">G12+G20</f>
        <v>17020.8135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10892.910525661</v>
      </c>
      <c r="D75" s="36" t="n">
        <f aca="false">D53+D72+D52+D55-D69-D51+D73+D74</f>
        <v>26067.1196678826</v>
      </c>
      <c r="E75" s="36" t="n">
        <f aca="false">E53+E72+E52+E55-E69-E51+E73+E74</f>
        <v>41653.5329584814</v>
      </c>
      <c r="F75" s="36" t="n">
        <f aca="false">F53+F72+F52+F55-F69-F51+F73+F74</f>
        <v>61555.9304188192</v>
      </c>
      <c r="G75" s="36" t="n">
        <f aca="false">G53+G72+G52+G55-G69-G51+G73+G74</f>
        <v>79982.3838850437</v>
      </c>
    </row>
    <row r="76" customFormat="false" ht="15" hidden="false" customHeight="true" outlineLevel="0" collapsed="false">
      <c r="A76" s="10" t="s">
        <v>611</v>
      </c>
      <c r="C76" s="36" t="n">
        <f aca="false">C53+C52-(C69-C55*C70)-C51+C73+C74</f>
        <v>-85.4829206794611</v>
      </c>
      <c r="D76" s="36" t="n">
        <f aca="false">D53+D52-(D69-D55*D70)-D51+D73+D74</f>
        <v>13482.0708798942</v>
      </c>
      <c r="E76" s="36" t="n">
        <f aca="false">E53+E52-(E69-E55*E70)-E51+E73+E74</f>
        <v>25060.84431992</v>
      </c>
      <c r="F76" s="36" t="n">
        <f aca="false">F53+F52-(F69-F55*F70)-F51+F73+F74</f>
        <v>41738.574698648</v>
      </c>
      <c r="G76" s="36" t="n">
        <f aca="false">G53+G52-(G69-G55*G70)-G51+G73+G74</f>
        <v>57867.0971589342</v>
      </c>
    </row>
    <row r="77" customFormat="false" ht="15" hidden="false" customHeight="true" outlineLevel="0" collapsed="false">
      <c r="A77" s="13" t="s">
        <v>612</v>
      </c>
      <c r="C77" s="16" t="n">
        <f aca="false">IFERROR(C76/C49,0)</f>
        <v>-0.00157636130190052</v>
      </c>
      <c r="D77" s="16" t="n">
        <f aca="false">IFERROR(D76/D49,0)</f>
        <v>0.124309128862342</v>
      </c>
      <c r="E77" s="16" t="n">
        <f aca="false">IFERROR(E76/E49,0)</f>
        <v>0.149076922051458</v>
      </c>
      <c r="F77" s="16" t="n">
        <f aca="false">IFERROR(F76/F49,0)</f>
        <v>0.183915598534618</v>
      </c>
      <c r="G77" s="16" t="n">
        <f aca="false">IFERROR(G76/G49,0)</f>
        <v>0.203987067335885</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140317.910525661</v>
      </c>
      <c r="E80" s="34" t="n">
        <f aca="false">D85</f>
        <v>166385.030193544</v>
      </c>
      <c r="F80" s="34" t="n">
        <f aca="false">E85</f>
        <v>208038.563152025</v>
      </c>
      <c r="G80" s="34" t="n">
        <f aca="false">F85</f>
        <v>269594.493570844</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8666.91052566103</v>
      </c>
      <c r="D82" s="34" t="n">
        <f aca="false">D75</f>
        <v>26067.1196678826</v>
      </c>
      <c r="E82" s="34" t="n">
        <f aca="false">E75</f>
        <v>41653.5329584814</v>
      </c>
      <c r="F82" s="34" t="n">
        <f aca="false">F75</f>
        <v>61555.9304188192</v>
      </c>
      <c r="G82" s="34" t="n">
        <f aca="false">G75</f>
        <v>79982.3838850437</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140317.910525661</v>
      </c>
      <c r="D85" s="36" t="n">
        <f aca="false">D80+D82+D83+D84</f>
        <v>166385.030193544</v>
      </c>
      <c r="E85" s="36" t="n">
        <f aca="false">E80+E82+E83+E84</f>
        <v>208038.563152025</v>
      </c>
      <c r="F85" s="36" t="n">
        <f aca="false">F80+F82+F83+F84</f>
        <v>269594.493570844</v>
      </c>
      <c r="G85" s="36" t="n">
        <f aca="false">G80+G82+G83+G84</f>
        <v>349576.877455888</v>
      </c>
    </row>
    <row r="86" customFormat="false" ht="15" hidden="false" customHeight="true" outlineLevel="0" collapsed="false">
      <c r="A86" s="13" t="s">
        <v>622</v>
      </c>
      <c r="C86" s="34" t="n">
        <f aca="false">MIN(C80-C81,C85)</f>
        <v>131651</v>
      </c>
      <c r="D86" s="34" t="n">
        <f aca="false">MIN(D80-D81,D85)</f>
        <v>140317.910525661</v>
      </c>
      <c r="E86" s="34" t="n">
        <f aca="false">MIN(E80-E81,E85)</f>
        <v>166385.030193544</v>
      </c>
      <c r="F86" s="34" t="n">
        <f aca="false">MIN(F80-F81,F85)</f>
        <v>208038.563152025</v>
      </c>
      <c r="G86" s="34" t="n">
        <f aca="false">MIN(G80-G81,G85)</f>
        <v>269594.493570844</v>
      </c>
    </row>
    <row r="87" customFormat="false" ht="15" hidden="false" customHeight="true" outlineLevel="0" collapsed="false">
      <c r="A87" s="13" t="s">
        <v>623</v>
      </c>
      <c r="C87" s="34" t="n">
        <f aca="false">C86-Inputs!$B$29</f>
        <v>126651</v>
      </c>
      <c r="D87" s="34" t="n">
        <f aca="false">D86-Inputs!$B$29</f>
        <v>135317.910525661</v>
      </c>
      <c r="E87" s="34" t="n">
        <f aca="false">E86-Inputs!$B$29</f>
        <v>161385.030193544</v>
      </c>
      <c r="F87" s="34" t="n">
        <f aca="false">F86-Inputs!$B$29</f>
        <v>203038.563152025</v>
      </c>
      <c r="G87" s="34" t="n">
        <f aca="false">G86-Inputs!$B$29</f>
        <v>264594.493570844</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140317.910525661</v>
      </c>
      <c r="D100" s="34" t="n">
        <f aca="false">D85+SUM($C97:D97)+SUM($C98:D98)-SUM($C99:D99)</f>
        <v>166385.030193544</v>
      </c>
      <c r="E100" s="34" t="n">
        <f aca="false">E85+SUM($C97:E97)+SUM($C98:E98)-SUM($C99:E99)</f>
        <v>208038.563152025</v>
      </c>
      <c r="F100" s="34" t="n">
        <f aca="false">F85+SUM($C97:F97)+SUM($C98:F98)-SUM($C99:F99)</f>
        <v>269594.493570844</v>
      </c>
      <c r="G100" s="34" t="n">
        <f aca="false">G85+SUM($C97:G97)+SUM($C98:G98)-SUM($C99:G99)</f>
        <v>349576.877455888</v>
      </c>
    </row>
    <row r="101" customFormat="false" ht="15" hidden="false" customHeight="true" outlineLevel="0" collapsed="false">
      <c r="A101" s="13" t="s">
        <v>637</v>
      </c>
      <c r="C101" s="34" t="n">
        <f aca="false">MIN(C80-C81+0+C97,C100)</f>
        <v>131651</v>
      </c>
      <c r="D101" s="34" t="n">
        <f aca="false">MIN(D80-D81+SUM($C97:C97)+SUM($C98:C98)-SUM($C99:C99)+D97,D100)</f>
        <v>140317.910525661</v>
      </c>
      <c r="E101" s="34" t="n">
        <f aca="false">MIN(E80-E81+SUM($C97:D97)+SUM($C98:D98)-SUM($C99:D99)+E97,E100)</f>
        <v>166385.030193544</v>
      </c>
      <c r="F101" s="34" t="n">
        <f aca="false">MIN(F80-F81+SUM($C97:E97)+SUM($C98:E98)-SUM($C99:E99)+F97,F100)</f>
        <v>208038.563152025</v>
      </c>
      <c r="G101" s="34" t="n">
        <f aca="false">MIN(G80-G81+SUM($C97:F97)+SUM($C98:F98)-SUM($C99:F99)+G97,G100)</f>
        <v>269594.493570844</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110408.208</v>
      </c>
      <c r="E105" s="34" t="n">
        <f aca="false">E5+E31</f>
        <v>175671.606</v>
      </c>
      <c r="F105" s="34" t="n">
        <f aca="false">F5+F31</f>
        <v>247369.1562</v>
      </c>
      <c r="G105" s="34" t="n">
        <f aca="false">G5+G31</f>
        <v>321977.055375</v>
      </c>
    </row>
    <row r="106" customFormat="false" ht="15" hidden="false" customHeight="true" outlineLevel="0" collapsed="false">
      <c r="A106" s="13" t="s">
        <v>558</v>
      </c>
      <c r="C106" s="34" t="n">
        <f aca="false">C17+C35</f>
        <v>1681.57633059282</v>
      </c>
      <c r="D106" s="34" t="n">
        <f aca="false">D17+D35</f>
        <v>22706.9132</v>
      </c>
      <c r="E106" s="34" t="n">
        <f aca="false">E17+E35</f>
        <v>46477.6859</v>
      </c>
      <c r="F106" s="34" t="n">
        <f aca="false">F17+F35</f>
        <v>76845.02603</v>
      </c>
      <c r="G106" s="34" t="n">
        <f aca="false">G17+G35</f>
        <v>108168.20709</v>
      </c>
    </row>
    <row r="107" customFormat="false" ht="15" hidden="false" customHeight="true" outlineLevel="0" collapsed="false">
      <c r="A107" s="13" t="s">
        <v>586</v>
      </c>
      <c r="C107" s="34" t="n">
        <f aca="false">C51+C37</f>
        <v>1626.84</v>
      </c>
      <c r="D107" s="34" t="n">
        <f aca="false">D51+D37</f>
        <v>4416.32832</v>
      </c>
      <c r="E107" s="34" t="n">
        <f aca="false">E51+E37</f>
        <v>8783.5803</v>
      </c>
      <c r="F107" s="34" t="n">
        <f aca="false">F51+F37</f>
        <v>12368.45781</v>
      </c>
      <c r="G107" s="34" t="n">
        <f aca="false">G51+G37</f>
        <v>16098.85276875</v>
      </c>
    </row>
    <row r="108" customFormat="false" ht="15" hidden="false" customHeight="true" outlineLevel="0" collapsed="false">
      <c r="A108" s="13" t="s">
        <v>587</v>
      </c>
      <c r="C108" s="33" t="n">
        <v>0</v>
      </c>
      <c r="D108" s="34" t="n">
        <f aca="false">SUMPRODUCT($D107:D107,--((4-COLUMN($D107:D107))&lt;Inputs!$B$32))/Inputs!$B$32</f>
        <v>883.265664</v>
      </c>
      <c r="E108" s="34" t="n">
        <f aca="false">SUMPRODUCT($D107:E107,--((5-COLUMN($D107:E107))&lt;Inputs!$B$32))/Inputs!$B$32</f>
        <v>2639.981724</v>
      </c>
      <c r="F108" s="34" t="n">
        <f aca="false">SUMPRODUCT($D107:F107,--((6-COLUMN($D107:F107))&lt;Inputs!$B$32))/Inputs!$B$32</f>
        <v>5113.673286</v>
      </c>
      <c r="G108" s="34" t="n">
        <f aca="false">SUMPRODUCT($D107:G107,--((7-COLUMN($D107:G107))&lt;Inputs!$B$32))/Inputs!$B$32</f>
        <v>8333.44383975</v>
      </c>
    </row>
    <row r="109" customFormat="false" ht="15" hidden="false" customHeight="true" outlineLevel="0" collapsed="false">
      <c r="A109" s="10" t="s">
        <v>588</v>
      </c>
      <c r="C109" s="36" t="n">
        <f aca="false">C106-C108</f>
        <v>1681.57633059282</v>
      </c>
      <c r="D109" s="36" t="n">
        <f aca="false">D106-D108</f>
        <v>21823.647536</v>
      </c>
      <c r="E109" s="36" t="n">
        <f aca="false">E106-E108</f>
        <v>43837.704176</v>
      </c>
      <c r="F109" s="36" t="n">
        <f aca="false">F106-F108</f>
        <v>71731.352744</v>
      </c>
      <c r="G109" s="36" t="n">
        <f aca="false">G106-G108</f>
        <v>99834.7632502501</v>
      </c>
    </row>
    <row r="110" customFormat="false" ht="15" hidden="false" customHeight="true" outlineLevel="0" collapsed="false">
      <c r="A110" s="13" t="s">
        <v>589</v>
      </c>
      <c r="C110" s="16" t="n">
        <f aca="false">IFERROR(C109/C105,0)</f>
        <v>0.0310093739505942</v>
      </c>
      <c r="D110" s="16" t="n">
        <f aca="false">IFERROR(D109/D105,0)</f>
        <v>0.1976632709771</v>
      </c>
      <c r="E110" s="16" t="n">
        <f aca="false">IFERROR(E109/E105,0)</f>
        <v>0.249543481580057</v>
      </c>
      <c r="F110" s="16" t="n">
        <f aca="false">IFERROR(F109/F105,0)</f>
        <v>0.289976947190638</v>
      </c>
      <c r="G110" s="16" t="n">
        <f aca="false">IFERROR(G109/G105,0)</f>
        <v>0.310067942990455</v>
      </c>
    </row>
    <row r="111" customFormat="false" ht="15" hidden="false" customHeight="true" outlineLevel="0" collapsed="false">
      <c r="A111" s="13" t="s">
        <v>590</v>
      </c>
      <c r="C111" s="34" t="n">
        <f aca="false">Historicals!F43+C136*Inputs!$B$20/2</f>
        <v>2756.6375</v>
      </c>
      <c r="D111" s="34" t="n">
        <f aca="false">MAX(0,D136-D137)*Inputs!$B$20</f>
        <v>3507.94776314153</v>
      </c>
      <c r="E111" s="34" t="n">
        <f aca="false">MAX(0,E136-E137)*Inputs!$B$20</f>
        <v>4172.52505821928</v>
      </c>
      <c r="F111" s="34" t="n">
        <f aca="false">MAX(0,F136-F137)*Inputs!$B$20</f>
        <v>5262.38839361247</v>
      </c>
      <c r="G111" s="34" t="n">
        <f aca="false">MAX(0,G136-G137)*Inputs!$B$20</f>
        <v>6933.10642304171</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25331.5952991415</v>
      </c>
      <c r="E114" s="34" t="n">
        <f aca="false">E109+E111+E112-E113</f>
        <v>48010.2292342193</v>
      </c>
      <c r="F114" s="34" t="n">
        <f aca="false">F109+F111+F112-F113</f>
        <v>76993.7411376125</v>
      </c>
      <c r="G114" s="34" t="n">
        <f aca="false">G109+G111+G112-G113</f>
        <v>106767.869673292</v>
      </c>
    </row>
    <row r="115" customFormat="false" ht="15" hidden="false" customHeight="true" outlineLevel="0" collapsed="false">
      <c r="A115" s="13" t="s">
        <v>594</v>
      </c>
      <c r="C115" s="34" t="n">
        <f aca="false">C114*Inputs!$B$46</f>
        <v>3195.51395802683</v>
      </c>
      <c r="D115" s="34" t="n">
        <f aca="false">D114*Inputs!$B$46</f>
        <v>18238.7486153819</v>
      </c>
      <c r="E115" s="34" t="n">
        <f aca="false">E114*Inputs!$B$46</f>
        <v>34567.3650486379</v>
      </c>
      <c r="F115" s="34" t="n">
        <f aca="false">F114*Inputs!$B$46</f>
        <v>55435.493619081</v>
      </c>
      <c r="G115" s="34" t="n">
        <f aca="false">G114*Inputs!$B$46</f>
        <v>76872.8661647701</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191.73083748161</v>
      </c>
      <c r="D119" s="34" t="n">
        <f aca="false">MAX(0,D115-D117)*Inputs!$B$47</f>
        <v>842.324916922914</v>
      </c>
      <c r="E119" s="34" t="n">
        <f aca="false">MAX(0,E115-E117)*Inputs!$B$47</f>
        <v>2074.04190291827</v>
      </c>
      <c r="F119" s="34" t="n">
        <f aca="false">MAX(0,F115-F117)*Inputs!$B$47</f>
        <v>3326.12961714486</v>
      </c>
      <c r="G119" s="34" t="n">
        <f aca="false">MAX(0,G115-G117)*Inputs!$B$47</f>
        <v>4612.37196988621</v>
      </c>
    </row>
    <row r="120" customFormat="false" ht="15" hidden="false" customHeight="true" outlineLevel="0" collapsed="false">
      <c r="A120" s="13" t="s">
        <v>599</v>
      </c>
      <c r="C120" s="34" t="n">
        <f aca="false">C114-C119</f>
        <v>4246.48299311121</v>
      </c>
      <c r="D120" s="34" t="n">
        <f aca="false">D114-D119</f>
        <v>24489.2703822186</v>
      </c>
      <c r="E120" s="34" t="n">
        <f aca="false">E114-E119</f>
        <v>45936.187331301</v>
      </c>
      <c r="F120" s="34" t="n">
        <f aca="false">F114-F119</f>
        <v>73667.6115204677</v>
      </c>
      <c r="G120" s="34" t="n">
        <f aca="false">G114-G119</f>
        <v>102155.497703406</v>
      </c>
    </row>
    <row r="121" customFormat="false" ht="15" hidden="false" customHeight="true" outlineLevel="0" collapsed="false">
      <c r="A121" s="13" t="s">
        <v>600</v>
      </c>
      <c r="C121" s="34" t="n">
        <f aca="false">Inputs!$B$44</f>
        <v>8200</v>
      </c>
      <c r="D121" s="34" t="n">
        <f aca="false">C123</f>
        <v>4802.81360551103</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3397.18639448897</v>
      </c>
      <c r="D122" s="34" t="n">
        <f aca="false">MIN(D121,Inputs!$B$45*MAX(0,D120))</f>
        <v>4802.81360551103</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178.352285710671</v>
      </c>
      <c r="D124" s="34" t="n">
        <f aca="false">MAX(0,D120-D122)*Inputs!$B$43</f>
        <v>4134.15592310859</v>
      </c>
      <c r="E124" s="34" t="n">
        <f aca="false">MAX(0,E120-E122)*Inputs!$B$43</f>
        <v>9646.59933957321</v>
      </c>
      <c r="F124" s="34" t="n">
        <f aca="false">MAX(0,F120-F122)*Inputs!$B$43</f>
        <v>15470.1984192982</v>
      </c>
      <c r="G124" s="34" t="n">
        <f aca="false">MAX(0,G120-G122)*Inputs!$B$43</f>
        <v>21452.6545177152</v>
      </c>
    </row>
    <row r="125" customFormat="false" ht="15" hidden="false" customHeight="true" outlineLevel="0" collapsed="false">
      <c r="A125" s="10" t="s">
        <v>604</v>
      </c>
      <c r="C125" s="36" t="n">
        <f aca="false">IF(Inputs!$J$90=0,MAX(0,C109+C111)*Inputs!B$54,IF(Inputs!$J$90=2,MAX(0,C114)*Inputs!$J$91,C119+C124))</f>
        <v>370.083123192281</v>
      </c>
      <c r="D125" s="36" t="n">
        <f aca="false">IF(Inputs!$J$90=0,MAX(0,D109+D111)*Inputs!C$54,IF(Inputs!$J$90=2,MAX(0,D114)*Inputs!$J$91,D119+D124))</f>
        <v>4976.48084003151</v>
      </c>
      <c r="E125" s="36" t="n">
        <f aca="false">IF(Inputs!$J$90=0,MAX(0,E109+E111)*Inputs!D$54,IF(Inputs!$J$90=2,MAX(0,E114)*Inputs!$J$91,E119+E124))</f>
        <v>11720.6412424915</v>
      </c>
      <c r="F125" s="36" t="n">
        <f aca="false">IF(Inputs!$J$90=0,MAX(0,F109+F111)*Inputs!E$54,IF(Inputs!$J$90=2,MAX(0,F114)*Inputs!$J$91,F119+F124))</f>
        <v>18796.3280364431</v>
      </c>
      <c r="G125" s="36" t="n">
        <f aca="false">IF(Inputs!$J$90=0,MAX(0,G109+G111)*Inputs!F$54,IF(Inputs!$J$90=2,MAX(0,G114)*Inputs!$J$91,G119+G124))</f>
        <v>26065.0264876014</v>
      </c>
    </row>
    <row r="126" customFormat="false" ht="15" hidden="false" customHeight="true" outlineLevel="0" collapsed="false">
      <c r="A126" s="13" t="s">
        <v>605</v>
      </c>
      <c r="C126" s="16" t="n">
        <f aca="false">IF(C114&gt;0,MIN(1,C125/C114),0)</f>
        <v>0.0833856</v>
      </c>
      <c r="D126" s="16" t="n">
        <f aca="false">IF(D114&gt;0,MIN(1,D125/D114),0)</f>
        <v>0.196453511169119</v>
      </c>
      <c r="E126" s="16" t="n">
        <f aca="false">IF(E114&gt;0,MIN(1,E125/E114),0)</f>
        <v>0.244128</v>
      </c>
      <c r="F126" s="16" t="n">
        <f aca="false">IF(F114&gt;0,MIN(1,F125/F114),0)</f>
        <v>0.244128</v>
      </c>
      <c r="G126" s="16" t="n">
        <f aca="false">IF(G114&gt;0,MIN(1,G125/G114),0)</f>
        <v>0.244128</v>
      </c>
    </row>
    <row r="127" customFormat="false" ht="15" hidden="false" customHeight="true" outlineLevel="0" collapsed="false">
      <c r="A127" s="13" t="s">
        <v>606</v>
      </c>
      <c r="C127" s="34" t="n">
        <f aca="false">C109+C111-C125</f>
        <v>4068.13070740054</v>
      </c>
      <c r="D127" s="34" t="n">
        <f aca="false">D109+D111-D125</f>
        <v>20355.11445911</v>
      </c>
      <c r="E127" s="34" t="n">
        <f aca="false">E109+E111-E125</f>
        <v>36289.5879917278</v>
      </c>
      <c r="F127" s="34" t="n">
        <f aca="false">F109+F111-F125</f>
        <v>58197.4131011694</v>
      </c>
      <c r="G127" s="34" t="n">
        <f aca="false">G109+G111-G125</f>
        <v>80702.8431856904</v>
      </c>
    </row>
    <row r="128" customFormat="false" ht="15" hidden="false" customHeight="true" outlineLevel="0" collapsed="false">
      <c r="A128" s="13" t="s">
        <v>607</v>
      </c>
      <c r="C128" s="34" t="n">
        <f aca="false">C12+C20</f>
        <v>8451.61981826049</v>
      </c>
      <c r="D128" s="34" t="n">
        <f aca="false">D12+D20</f>
        <v>9761.04</v>
      </c>
      <c r="E128" s="34" t="n">
        <f aca="false">E12+E20</f>
        <v>13448.544</v>
      </c>
      <c r="F128" s="34" t="n">
        <f aca="false">F12+F20</f>
        <v>15886.0926</v>
      </c>
      <c r="G128" s="34" t="n">
        <f aca="false">G12+G20</f>
        <v>17020.8135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10892.910525661</v>
      </c>
      <c r="D131" s="36" t="n">
        <f aca="false">D109+D128+D108+D111-D125-D107+D129+D130</f>
        <v>26583.09180311</v>
      </c>
      <c r="E131" s="36" t="n">
        <f aca="false">E109+E128+E108+E111-E125-E107+E129+E130</f>
        <v>43594.5334157278</v>
      </c>
      <c r="F131" s="36" t="n">
        <f aca="false">F109+F128+F108+F111-F125-F107+F129+F130</f>
        <v>66828.7211771694</v>
      </c>
      <c r="G131" s="36" t="n">
        <f aca="false">G109+G128+G108+G111-G125-G107+G129+G130</f>
        <v>89958.2477566904</v>
      </c>
    </row>
    <row r="132" customFormat="false" ht="15" hidden="false" customHeight="true" outlineLevel="0" collapsed="false">
      <c r="A132" s="10" t="s">
        <v>611</v>
      </c>
      <c r="C132" s="36" t="n">
        <f aca="false">C109+C108-(C125-C111*C126)-C107+C129+C130</f>
        <v>-85.4829206794611</v>
      </c>
      <c r="D132" s="36" t="n">
        <f aca="false">D109+D108-(D125-D111*D126)-D107+D129+D130</f>
        <v>14003.2526950355</v>
      </c>
      <c r="E132" s="36" t="n">
        <f aca="false">E109+E108-(E125-E111*E126)-E107+E129+E130</f>
        <v>26992.0945549215</v>
      </c>
      <c r="F132" s="36" t="n">
        <f aca="false">F109+F108-(F125-F111*F126)-F107+F129+F130</f>
        <v>46964.9365373128</v>
      </c>
      <c r="G132" s="36" t="n">
        <f aca="false">G109+G108-(G125-G111*G126)-G107+G129+G130</f>
        <v>67696.893238493</v>
      </c>
    </row>
    <row r="133" customFormat="false" ht="15" hidden="false" customHeight="true" outlineLevel="0" collapsed="false">
      <c r="A133" s="13" t="s">
        <v>612</v>
      </c>
      <c r="C133" s="16" t="n">
        <f aca="false">IFERROR(C132/C105,0)</f>
        <v>-0.00157636130190052</v>
      </c>
      <c r="D133" s="16" t="n">
        <f aca="false">IFERROR(D132/D105,0)</f>
        <v>0.126831627364476</v>
      </c>
      <c r="E133" s="16" t="n">
        <f aca="false">IFERROR(E132/E105,0)</f>
        <v>0.153650866918821</v>
      </c>
      <c r="F133" s="16" t="n">
        <f aca="false">IFERROR(F132/F105,0)</f>
        <v>0.189857689854192</v>
      </c>
      <c r="G133" s="16" t="n">
        <f aca="false">IFERROR(G132/G105,0)</f>
        <v>0.210253780846737</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140317.910525661</v>
      </c>
      <c r="E136" s="34" t="n">
        <f aca="false">D141</f>
        <v>166901.002328771</v>
      </c>
      <c r="F136" s="34" t="n">
        <f aca="false">E141</f>
        <v>210495.535744499</v>
      </c>
      <c r="G136" s="34" t="n">
        <f aca="false">F141</f>
        <v>277324.256921668</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8666.91052566103</v>
      </c>
      <c r="D138" s="34" t="n">
        <f aca="false">D131</f>
        <v>26583.09180311</v>
      </c>
      <c r="E138" s="34" t="n">
        <f aca="false">E131</f>
        <v>43594.5334157278</v>
      </c>
      <c r="F138" s="34" t="n">
        <f aca="false">F131</f>
        <v>66828.7211771694</v>
      </c>
      <c r="G138" s="34" t="n">
        <f aca="false">G131</f>
        <v>89958.2477566904</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140317.910525661</v>
      </c>
      <c r="D141" s="36" t="n">
        <f aca="false">D136+D138+D139+D140</f>
        <v>166901.002328771</v>
      </c>
      <c r="E141" s="36" t="n">
        <f aca="false">E136+E138+E139+E140</f>
        <v>210495.535744499</v>
      </c>
      <c r="F141" s="36" t="n">
        <f aca="false">F136+F138+F139+F140</f>
        <v>277324.256921668</v>
      </c>
      <c r="G141" s="36" t="n">
        <f aca="false">G136+G138+G139+G140</f>
        <v>367282.504678359</v>
      </c>
    </row>
    <row r="142" customFormat="false" ht="15" hidden="false" customHeight="true" outlineLevel="0" collapsed="false">
      <c r="A142" s="13" t="s">
        <v>622</v>
      </c>
      <c r="C142" s="34" t="n">
        <f aca="false">MIN(C136-C137,C141)</f>
        <v>131651</v>
      </c>
      <c r="D142" s="34" t="n">
        <f aca="false">MIN(D136-D137,D141)</f>
        <v>140317.910525661</v>
      </c>
      <c r="E142" s="34" t="n">
        <f aca="false">MIN(E136-E137,E141)</f>
        <v>166901.002328771</v>
      </c>
      <c r="F142" s="34" t="n">
        <f aca="false">MIN(F136-F137,F141)</f>
        <v>210495.535744499</v>
      </c>
      <c r="G142" s="34" t="n">
        <f aca="false">MIN(G136-G137,G141)</f>
        <v>277324.256921668</v>
      </c>
    </row>
    <row r="143" customFormat="false" ht="15" hidden="false" customHeight="true" outlineLevel="0" collapsed="false">
      <c r="A143" s="13" t="s">
        <v>623</v>
      </c>
      <c r="C143" s="34" t="n">
        <f aca="false">C142-Inputs!$B$29</f>
        <v>126651</v>
      </c>
      <c r="D143" s="34" t="n">
        <f aca="false">D142-Inputs!$B$29</f>
        <v>135317.910525661</v>
      </c>
      <c r="E143" s="34" t="n">
        <f aca="false">E142-Inputs!$B$29</f>
        <v>161901.002328771</v>
      </c>
      <c r="F143" s="34" t="n">
        <f aca="false">F142-Inputs!$B$29</f>
        <v>205495.535744499</v>
      </c>
      <c r="G143" s="34" t="n">
        <f aca="false">G142-Inputs!$B$29</f>
        <v>272324.256921668</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140317.910525661</v>
      </c>
      <c r="D156" s="34" t="n">
        <f aca="false">D141+SUM($C153:D153)+SUM($C154:D154)-SUM($C155:D155)</f>
        <v>166901.002328771</v>
      </c>
      <c r="E156" s="34" t="n">
        <f aca="false">E141+SUM($C153:E153)+SUM($C154:E154)-SUM($C155:E155)</f>
        <v>210495.535744499</v>
      </c>
      <c r="F156" s="34" t="n">
        <f aca="false">F141+SUM($C153:F153)+SUM($C154:F154)-SUM($C155:F155)</f>
        <v>277324.256921668</v>
      </c>
      <c r="G156" s="34" t="n">
        <f aca="false">G141+SUM($C153:G153)+SUM($C154:G154)-SUM($C155:G155)</f>
        <v>367282.504678359</v>
      </c>
    </row>
    <row r="157" customFormat="false" ht="15" hidden="false" customHeight="true" outlineLevel="0" collapsed="false">
      <c r="A157" s="13" t="s">
        <v>637</v>
      </c>
      <c r="C157" s="34" t="n">
        <f aca="false">MIN(C136-C137+0+C153,C156)</f>
        <v>131651</v>
      </c>
      <c r="D157" s="34" t="n">
        <f aca="false">MIN(D136-D137+SUM($C153:C153)+SUM($C154:C154)-SUM($C155:C155)+D153,D156)</f>
        <v>140317.910525661</v>
      </c>
      <c r="E157" s="34" t="n">
        <f aca="false">MIN(E136-E137+SUM($C153:D153)+SUM($C154:D154)-SUM($C155:D155)+E153,E156)</f>
        <v>166901.002328771</v>
      </c>
      <c r="F157" s="34" t="n">
        <f aca="false">MIN(F136-F137+SUM($C153:E153)+SUM($C154:E154)-SUM($C155:E155)+F153,F156)</f>
        <v>210495.535744499</v>
      </c>
      <c r="G157" s="34" t="n">
        <f aca="false">MIN(G136-G137+SUM($C153:F153)+SUM($C154:F154)-SUM($C155:F155)+G153,G156)</f>
        <v>277324.256921668</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Inputs!$B$19+Inputs!$J$89</f>
        <v>0.12</v>
      </c>
      <c r="G162" s="16" t="n">
        <f aca="false">Inputs!$B$19+Inputs!$J$89</f>
        <v>0.12</v>
      </c>
    </row>
    <row r="163" customFormat="false" ht="15" hidden="false" customHeight="true" outlineLevel="0" collapsed="false">
      <c r="A163" s="13" t="s">
        <v>642</v>
      </c>
      <c r="F163" s="34" t="n">
        <f aca="false">G53*(1-G70)</f>
        <v>64396.1483589342</v>
      </c>
      <c r="G163" s="34" t="n">
        <f aca="false">G109*(1-G126)</f>
        <v>75462.302167493</v>
      </c>
    </row>
    <row r="164" customFormat="false" ht="15" hidden="false" customHeight="true" outlineLevel="0" collapsed="false">
      <c r="A164" s="13" t="s">
        <v>643</v>
      </c>
      <c r="F164" s="53" t="n">
        <f aca="false">Inputs!$J$87</f>
        <v>22.5</v>
      </c>
      <c r="G164" s="53" t="n">
        <f aca="false">Inputs!$J$87</f>
        <v>22.5</v>
      </c>
    </row>
    <row r="165" customFormat="false" ht="15" hidden="false" customHeight="true" outlineLevel="0" collapsed="false">
      <c r="A165" s="13" t="s">
        <v>644</v>
      </c>
      <c r="F165" s="34" t="n">
        <f aca="false">F163*F164</f>
        <v>1448913.33807602</v>
      </c>
      <c r="G165" s="34" t="n">
        <f aca="false">G163*G164</f>
        <v>1697901.79876859</v>
      </c>
    </row>
    <row r="166" customFormat="false" ht="15" hidden="false" customHeight="true" outlineLevel="0" collapsed="false">
      <c r="A166" s="13" t="s">
        <v>645</v>
      </c>
      <c r="F166" s="34" t="n">
        <f aca="false">F165*$G$21</f>
        <v>920810.620389201</v>
      </c>
      <c r="G166" s="34" t="n">
        <f aca="false">G165*$G$21</f>
        <v>1079047.28847352</v>
      </c>
    </row>
    <row r="167" customFormat="false" ht="15" hidden="false" customHeight="true" outlineLevel="0" collapsed="false">
      <c r="A167" s="13" t="s">
        <v>646</v>
      </c>
      <c r="F167" s="34" t="n">
        <f aca="false">SUMPRODUCT(D76:G76,$D$21:$G$21)-F162*SUMPRODUCT(D81:G81,$D$21:$G$21)</f>
        <v>98500.1943754131</v>
      </c>
      <c r="G167" s="34" t="n">
        <f aca="false">SUMPRODUCT(D132:G132,$D$21:$G$21)-G162*SUMPRODUCT(D137:G137,$D$21:$G$21)</f>
        <v>110472.150385431</v>
      </c>
    </row>
    <row r="168" customFormat="false" ht="15" hidden="false" customHeight="true" outlineLevel="0" collapsed="false">
      <c r="A168" s="13" t="s">
        <v>647</v>
      </c>
      <c r="F168" s="34" t="n">
        <f aca="false">F166+F167</f>
        <v>1019310.81476461</v>
      </c>
      <c r="G168" s="34" t="n">
        <f aca="false">G166+G167</f>
        <v>1189519.43885895</v>
      </c>
    </row>
    <row r="169" customFormat="false" ht="15" hidden="false" customHeight="true" outlineLevel="0" collapsed="false">
      <c r="A169" s="13" t="s">
        <v>648</v>
      </c>
      <c r="F169" s="34" t="n">
        <f aca="false">(G76-G74)*Inputs!$J$88*$G$21</f>
        <v>772287.314175541</v>
      </c>
      <c r="G169" s="34" t="n">
        <f aca="false">(G132-G130)*Inputs!$J$88*$G$21</f>
        <v>903474.589602986</v>
      </c>
    </row>
    <row r="170" customFormat="false" ht="15" hidden="false" customHeight="true" outlineLevel="0" collapsed="false">
      <c r="A170" s="13" t="s">
        <v>649</v>
      </c>
      <c r="F170" s="34" t="n">
        <f aca="false">F167+F169</f>
        <v>870787.508550955</v>
      </c>
      <c r="G170" s="34" t="n">
        <f aca="false">G167+G169</f>
        <v>1013946.73998842</v>
      </c>
    </row>
    <row r="171" customFormat="false" ht="15" hidden="false" customHeight="true" outlineLevel="0" collapsed="false">
      <c r="A171" s="13" t="s">
        <v>650</v>
      </c>
      <c r="F171" s="34" t="n">
        <f aca="false">F168*Inputs!$B$21+F170*(1-Inputs!$B$21)</f>
        <v>945049.161657784</v>
      </c>
      <c r="G171" s="34" t="n">
        <f aca="false">G168*Inputs!$B$21+G170*(1-Inputs!$B$21)</f>
        <v>1101733.08942369</v>
      </c>
    </row>
    <row r="172" customFormat="false" ht="15" hidden="false" customHeight="true" outlineLevel="0" collapsed="false">
      <c r="A172" s="13" t="s">
        <v>651</v>
      </c>
      <c r="F172" s="16" t="n">
        <f aca="false">IFERROR(F166/F168,0)</f>
        <v>0.903365889041254</v>
      </c>
      <c r="G172" s="16" t="n">
        <f aca="false">IFERROR(G166/G168,0)</f>
        <v>0.907128755717181</v>
      </c>
    </row>
    <row r="173" customFormat="false" ht="15" hidden="false" customHeight="true" outlineLevel="0" collapsed="false">
      <c r="A173" s="13" t="s">
        <v>652</v>
      </c>
      <c r="F173" s="16" t="n">
        <f aca="false">IFERROR(F169/F170,0)</f>
        <v>0.88688377657217</v>
      </c>
      <c r="G173" s="16" t="n">
        <f aca="false">IFERROR(G169/G170,0)</f>
        <v>0.891047383428943</v>
      </c>
    </row>
    <row r="174" customFormat="false" ht="15" hidden="false" customHeight="true" outlineLevel="0" collapsed="false">
      <c r="A174" s="13" t="s">
        <v>653</v>
      </c>
      <c r="F174" s="34" t="n">
        <f aca="false">C85</f>
        <v>140317.910525661</v>
      </c>
      <c r="G174" s="34" t="n">
        <f aca="false">C141</f>
        <v>140317.910525661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1085367.07218345</v>
      </c>
      <c r="G176" s="35" t="n">
        <f aca="false">G171+G174+G175</f>
        <v>1242050.99994935</v>
      </c>
    </row>
    <row r="177" customFormat="false" ht="15" hidden="false" customHeight="true" outlineLevel="0" collapsed="false">
      <c r="A177" s="13" t="s">
        <v>656</v>
      </c>
      <c r="F177" s="34" t="n">
        <f aca="false">IF(F182="OK",F176,"unresolved")</f>
        <v>1085367.07218345</v>
      </c>
      <c r="G177" s="34" t="n">
        <f aca="false">IF(G182="OK",G176,"unresolved")</f>
        <v>1242050.99994935</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60.6260221935333</v>
      </c>
      <c r="G179" s="25" t="n">
        <f aca="false">IF(G182="OK",G176/G178,"n/a")</f>
        <v>69.3780135940058</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No raise needed</v>
      </c>
      <c r="G183" s="29" t="str">
        <f aca="false">IF(G182&lt;&gt;"OK",G182,IF(G180&gt;0,"Raise needed by 2030",IF(ISNUMBER(G181),"Cash-negative in 2030; runway "&amp;TEXT(G181,"0.0")&amp;" yrs","No raise needed")))</f>
        <v>No raise needed</v>
      </c>
    </row>
    <row r="184" customFormat="false" ht="15" hidden="false" customHeight="true" outlineLevel="0" collapsed="false">
      <c r="A184" s="13" t="s">
        <v>663</v>
      </c>
      <c r="F184" s="25" t="n">
        <f aca="false">IF(NOT(ISNUMBER(F179)),"unresolved",IF(F180=0,F179,(F176+F180/(1+F162)^IF(ISNUMBER(G93),MAX(0,G93-2027),0))/(F178+(F180/(1-Inputs!$B$31))/(F179*(1+F162)^IF(ISNUMBER(G93),MAX(0,G93-2027),0)*(1-0)))))</f>
        <v>60.6260221935333</v>
      </c>
      <c r="G184" s="25" t="n">
        <f aca="false">IF(NOT(ISNUMBER(G179)),"unresolved",IF(G180=0,G179,(G176+G180/(1+G162)^IF(ISNUMBER(G149),MAX(0,G149-2027),0))/(G178+(G180/(1-Inputs!$B$31))/(G179*(1+G162)^IF(ISNUMBER(G149),MAX(0,G149-2027),0)*(1-0)))))</f>
        <v>69.3780135940058</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60.6260221935333</v>
      </c>
      <c r="G185" s="25" t="n">
        <f aca="false">IF(NOT(ISNUMBER(G179)),"unresolved",IF(G180=0,G179,(G176+G180/(1+G162)^IF(ISNUMBER(G149),MAX(0,G149-2027),0))/(G178+(G180/(1-Inputs!$B$31))/(G179*(1+G162)^IF(ISNUMBER(G149),MAX(0,G149-2027),0)*(1-Inputs!$B$30)))))</f>
        <v>69.3780135940058</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60.6260221935333</v>
      </c>
      <c r="G186" s="25" t="n">
        <f aca="false">IF(NOT(ISNUMBER(G179)),"unresolved",IF(G180=0,G179,(G176+G180/(1+G162)^IF(ISNUMBER(G149),MAX(0,G149-2027),0))/(G178+(G180/(1-Inputs!$B$31))/(G179*(1+G162)^IF(ISNUMBER(G149),MAX(0,G149-2027),0)*(1-0.3)))))</f>
        <v>69.3780135940058</v>
      </c>
    </row>
    <row r="187" customFormat="false" ht="15" hidden="false" customHeight="true" outlineLevel="0" collapsed="false">
      <c r="A187" s="13" t="s">
        <v>666</v>
      </c>
      <c r="F187" s="25" t="n">
        <f aca="false">F185</f>
        <v>60.6260221935333</v>
      </c>
      <c r="G187" s="25" t="n">
        <f aca="false">G185</f>
        <v>69.3780135940058</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n">
        <f aca="false">IF(ISNUMBER(F187),F187/(1+Inputs!$B$25)^F188,"unresolved")</f>
        <v>60.6260221935333</v>
      </c>
      <c r="G189" s="12" t="n">
        <f aca="false">IF(ISNUMBER(G187),G187/(1+Inputs!$B$25)^G188,"unresolved")</f>
        <v>69.3780135940058</v>
      </c>
    </row>
    <row r="190" customFormat="false" ht="15" hidden="false" customHeight="true" outlineLevel="0" collapsed="false">
      <c r="A190" s="13" t="s">
        <v>669</v>
      </c>
      <c r="F190" s="25" t="n">
        <f aca="false">IF(F180=0,F189,"unresolved")</f>
        <v>60.6260221935333</v>
      </c>
      <c r="G190" s="25" t="n">
        <f aca="false">IF(G180=0,G189,"unresolved")</f>
        <v>69.3780135940058</v>
      </c>
    </row>
    <row r="191" customFormat="false" ht="15" hidden="false" customHeight="true" outlineLevel="0" collapsed="false">
      <c r="A191" s="13" t="s">
        <v>670</v>
      </c>
      <c r="F191" s="34" t="n">
        <f aca="false">IF(ISNUMBER(F179),F176+F180/(1+F162)^IF(ISNUMBER(G93),MAX(0,G93-2027),0),"unresolved")</f>
        <v>1085367.07218345</v>
      </c>
      <c r="G191" s="34" t="n">
        <f aca="false">IF(ISNUMBER(G179),G176+G180/(1+G162)^IF(ISNUMBER(G149),MAX(0,G149-2027),0),"unresolved")</f>
        <v>1242050.99994935</v>
      </c>
    </row>
    <row r="192" customFormat="false" ht="15" hidden="false" customHeight="true" outlineLevel="0" collapsed="false">
      <c r="A192" s="13" t="s">
        <v>671</v>
      </c>
      <c r="F192" s="28" t="n">
        <f aca="false">IFERROR(F191/D49,"n/a")</f>
        <v>10.0074414710431</v>
      </c>
      <c r="G192" s="28" t="n">
        <f aca="false">IFERROR(G191/D105,"n/a")</f>
        <v>11.2496255708574</v>
      </c>
    </row>
    <row r="193" customFormat="false" ht="15" hidden="false" customHeight="true" outlineLevel="0" collapsed="false">
      <c r="A193" s="13" t="s">
        <v>672</v>
      </c>
      <c r="F193" s="25" t="n">
        <f aca="false">(F168+F174)/F178</f>
        <v>64.7741014422671</v>
      </c>
      <c r="G193" s="25" t="n">
        <f aca="false">(G168+G174)/G178</f>
        <v>74.2815501997785</v>
      </c>
    </row>
    <row r="194" customFormat="false" ht="15" hidden="false" customHeight="true" outlineLevel="0" collapsed="false">
      <c r="A194" s="13" t="s">
        <v>673</v>
      </c>
      <c r="F194" s="25" t="n">
        <f aca="false">(F170+F174)/F178</f>
        <v>56.4779429447995</v>
      </c>
      <c r="G194" s="25" t="n">
        <f aca="false">(G170+G174)/G178</f>
        <v>64.4744769882332</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684</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Historicals!F35+(Inputs!$B$5+Inputs!$K$60)</f>
        <v>54228</v>
      </c>
      <c r="D5" s="34" t="n">
        <f aca="false">C5*(1+Inputs!$K$62)</f>
        <v>108456</v>
      </c>
      <c r="E5" s="34" t="n">
        <f aca="false">D5*(1+Inputs!$K$63)</f>
        <v>168106.8</v>
      </c>
      <c r="F5" s="34" t="n">
        <f aca="false">E5*(1+Inputs!$K$64)</f>
        <v>226944.18</v>
      </c>
      <c r="G5" s="34" t="n">
        <f aca="false">F5*(1+Inputs!$K$65)</f>
        <v>283680.225</v>
      </c>
    </row>
    <row r="6" customFormat="false" ht="15" hidden="false" customHeight="true" outlineLevel="0" collapsed="false">
      <c r="A6" s="13" t="s">
        <v>551</v>
      </c>
      <c r="C6" s="16" t="n">
        <f aca="false">IFERROR(C5/B5-1,0)</f>
        <v>10.8272628135224</v>
      </c>
      <c r="D6" s="16" t="n">
        <f aca="false">IFERROR(D5/C5-1,0)</f>
        <v>1</v>
      </c>
      <c r="E6" s="16" t="n">
        <f aca="false">IFERROR(E5/D5-1,0)</f>
        <v>0.55</v>
      </c>
      <c r="F6" s="16" t="n">
        <f aca="false">IFERROR(F5/E5-1,0)</f>
        <v>0.35</v>
      </c>
      <c r="G6" s="16" t="n">
        <f aca="false">IFERROR(G5/F5-1,0)</f>
        <v>0.25</v>
      </c>
    </row>
    <row r="7" customFormat="false" ht="15" hidden="false" customHeight="true" outlineLevel="0" collapsed="false">
      <c r="A7" s="13" t="s">
        <v>552</v>
      </c>
      <c r="B7" s="41" t="n">
        <f aca="false">Historicals!D51</f>
        <v>789</v>
      </c>
      <c r="C7" s="34" t="n">
        <f aca="false">Historicals!F51+(Inputs!$B$5+Inputs!$K$60)*Historicals!F51/Historicals!F35</f>
        <v>10728.3934667813</v>
      </c>
      <c r="D7" s="34" t="n">
        <f aca="false">D5*Inputs!$K$61</f>
        <v>21691.2</v>
      </c>
      <c r="E7" s="34" t="n">
        <f aca="false">E5*Inputs!$K$61</f>
        <v>33621.36</v>
      </c>
      <c r="F7" s="34" t="n">
        <f aca="false">F5*Inputs!$K$61</f>
        <v>45388.836</v>
      </c>
      <c r="G7" s="34" t="n">
        <f aca="false">G5*Inputs!$K$61</f>
        <v>56736.045</v>
      </c>
    </row>
    <row r="8" customFormat="false" ht="15" hidden="false" customHeight="true" outlineLevel="0" collapsed="false">
      <c r="A8" s="13" t="s">
        <v>553</v>
      </c>
      <c r="B8" s="34" t="n">
        <f aca="false">B5-B7</f>
        <v>3796</v>
      </c>
      <c r="C8" s="34" t="n">
        <f aca="false">C5-C7</f>
        <v>43499.6065332187</v>
      </c>
      <c r="D8" s="34" t="n">
        <f aca="false">D5-D7</f>
        <v>86764.8</v>
      </c>
      <c r="E8" s="34" t="n">
        <f aca="false">E5-E7</f>
        <v>134485.44</v>
      </c>
      <c r="F8" s="34" t="n">
        <f aca="false">F5-F7</f>
        <v>181555.344</v>
      </c>
      <c r="G8" s="34" t="n">
        <f aca="false">G5-G7</f>
        <v>226944.18</v>
      </c>
    </row>
    <row r="10" customFormat="false" ht="15" hidden="false" customHeight="true" outlineLevel="0" collapsed="false">
      <c r="A10" s="13" t="s">
        <v>250</v>
      </c>
      <c r="B10" s="41" t="n">
        <f aca="false">Historicals!D36</f>
        <v>7326</v>
      </c>
      <c r="C10" s="34" t="n">
        <f aca="false">Historicals!F36+(Inputs!$B$5+Inputs!$K$60)*Inputs!$K$66</f>
        <v>26018.9</v>
      </c>
      <c r="D10" s="34" t="n">
        <f aca="false">C10*(1+Inputs!$K$67)</f>
        <v>44232.13</v>
      </c>
      <c r="E10" s="34" t="n">
        <f aca="false">D10*(1+Inputs!$K$68)</f>
        <v>64136.5885</v>
      </c>
      <c r="F10" s="34" t="n">
        <f aca="false">E10*(1+Inputs!$K$69)</f>
        <v>83377.56505</v>
      </c>
      <c r="G10" s="34" t="n">
        <f aca="false">F10*(1+Inputs!$K$70)</f>
        <v>100053.07806</v>
      </c>
    </row>
    <row r="11" customFormat="false" ht="15" hidden="false" customHeight="true" outlineLevel="0" collapsed="false">
      <c r="A11" s="13" t="s">
        <v>251</v>
      </c>
      <c r="B11" s="41" t="n">
        <f aca="false">Historicals!D37</f>
        <v>1839</v>
      </c>
      <c r="C11" s="34" t="n">
        <f aca="false">Historicals!F37+(Inputs!$B$5+Inputs!$K$60)*Historicals!G24</f>
        <v>9249.6455214193</v>
      </c>
      <c r="D11" s="34" t="n">
        <f aca="false">D5*Inputs!$K$71</f>
        <v>15183.84</v>
      </c>
      <c r="E11" s="34" t="n">
        <f aca="false">E5*Inputs!$K$72</f>
        <v>21853.884</v>
      </c>
      <c r="F11" s="34" t="n">
        <f aca="false">F5*Inputs!$K$73</f>
        <v>27233.3016</v>
      </c>
      <c r="G11" s="34" t="n">
        <f aca="false">G5*Inputs!$K$74</f>
        <v>31204.82475</v>
      </c>
    </row>
    <row r="12" customFormat="false" ht="15" hidden="false" customHeight="true" outlineLevel="0" collapsed="false">
      <c r="A12" s="13" t="s">
        <v>554</v>
      </c>
      <c r="B12" s="41" t="n">
        <f aca="false">Historicals!D49</f>
        <v>1158</v>
      </c>
      <c r="C12" s="34" t="n">
        <f aca="false">Historicals!F49+(Inputs!$B$5+Inputs!$K$60)*Historicals!G29</f>
        <v>6325.61981826049</v>
      </c>
      <c r="D12" s="34" t="n">
        <f aca="false">D5*Inputs!$K$75</f>
        <v>9761.04</v>
      </c>
      <c r="E12" s="34" t="n">
        <f aca="false">E5*Inputs!$K$76</f>
        <v>13448.544</v>
      </c>
      <c r="F12" s="34" t="n">
        <f aca="false">F5*Inputs!$K$77</f>
        <v>15886.0926</v>
      </c>
      <c r="G12" s="34" t="n">
        <f aca="false">G5*Inputs!$K$78</f>
        <v>17020.8135</v>
      </c>
    </row>
    <row r="13" customFormat="false" ht="15" hidden="false" customHeight="true" outlineLevel="0" collapsed="false">
      <c r="A13" s="13" t="s">
        <v>555</v>
      </c>
      <c r="B13" s="41" t="n">
        <f aca="false">Historicals!D39</f>
        <v>568</v>
      </c>
      <c r="C13" s="34" t="n">
        <f aca="false">Historicals!F39+(Inputs!$B$5+Inputs!$K$60)*Historicals!G25</f>
        <v>10178.486369537</v>
      </c>
      <c r="D13" s="34" t="n">
        <f aca="false">D5*Inputs!$K$79</f>
        <v>18437.52</v>
      </c>
      <c r="E13" s="34" t="n">
        <f aca="false">E5*Inputs!$K$80</f>
        <v>26897.088</v>
      </c>
      <c r="F13" s="34" t="n">
        <f aca="false">F5*Inputs!$K$81</f>
        <v>34041.627</v>
      </c>
      <c r="G13" s="34" t="n">
        <f aca="false">G5*Inputs!$K$82</f>
        <v>42552.03375</v>
      </c>
    </row>
    <row r="14" customFormat="false" ht="15" hidden="false" customHeight="true" outlineLevel="0" collapsed="false">
      <c r="A14" s="13" t="s">
        <v>556</v>
      </c>
      <c r="B14" s="41" t="n">
        <f aca="false">Historicals!D40</f>
        <v>1412</v>
      </c>
      <c r="C14" s="34" t="n">
        <f aca="false">Historicals!F40+(Inputs!$B$5+Inputs!$K$60)*Historicals!G26</f>
        <v>5099.39177845089</v>
      </c>
      <c r="D14" s="34" t="n">
        <f aca="false">D5*Inputs!$K$83</f>
        <v>8676.48</v>
      </c>
      <c r="E14" s="34" t="n">
        <f aca="false">E5*Inputs!$K$84</f>
        <v>11767.476</v>
      </c>
      <c r="F14" s="34" t="n">
        <f aca="false">F5*Inputs!$K$85</f>
        <v>13616.6508</v>
      </c>
      <c r="G14" s="34" t="n">
        <f aca="false">G5*Inputs!$K$86</f>
        <v>17020.8135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86529.97</v>
      </c>
      <c r="E16" s="36" t="n">
        <f aca="false">E10+E11+E13+E14+E15</f>
        <v>124655.0365</v>
      </c>
      <c r="F16" s="36" t="n">
        <f aca="false">F10+F11+F13+F14+F15</f>
        <v>158269.14445</v>
      </c>
      <c r="G16" s="36" t="n">
        <f aca="false">G10+G11+G13+G14+G15</f>
        <v>190830.75006</v>
      </c>
    </row>
    <row r="17" customFormat="false" ht="15" hidden="false" customHeight="true" outlineLevel="0" collapsed="false">
      <c r="A17" s="10" t="s">
        <v>558</v>
      </c>
      <c r="B17" s="35" t="n">
        <f aca="false">B5-B16</f>
        <v>-8060</v>
      </c>
      <c r="C17" s="35" t="n">
        <f aca="false">C5-C16</f>
        <v>1681.57633059282</v>
      </c>
      <c r="D17" s="35" t="n">
        <f aca="false">D5-D16</f>
        <v>21926.03</v>
      </c>
      <c r="E17" s="35" t="n">
        <f aca="false">E5-E16</f>
        <v>43451.7635</v>
      </c>
      <c r="F17" s="35" t="n">
        <f aca="false">F5-F16</f>
        <v>68675.03555</v>
      </c>
      <c r="G17" s="35" t="n">
        <f aca="false">G5-G16</f>
        <v>92849.4749400001</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0.202165209854688</v>
      </c>
      <c r="E18" s="16" t="n">
        <f aca="false">IFERROR(E17/E5,0)</f>
        <v>0.258477131799546</v>
      </c>
      <c r="F18" s="16" t="n">
        <f aca="false">IFERROR(F17/F5,0)</f>
        <v>0.302607608399563</v>
      </c>
      <c r="G18" s="16" t="n">
        <f aca="false">IFERROR(G17/G5,0)</f>
        <v>0.327303304063581</v>
      </c>
    </row>
    <row r="19" customFormat="false" ht="15" hidden="false" customHeight="true" outlineLevel="0" collapsed="false">
      <c r="A19" s="13" t="s">
        <v>560</v>
      </c>
      <c r="B19" s="16" t="n">
        <f aca="false">IFERROR(B10/B5,0)</f>
        <v>1.59781897491821</v>
      </c>
      <c r="C19" s="16" t="n">
        <f aca="false">IFERROR(C10/C5,0)</f>
        <v>0.479805635465073</v>
      </c>
      <c r="D19" s="16" t="n">
        <f aca="false">IFERROR(D10/D5,0)</f>
        <v>0.407834790145312</v>
      </c>
      <c r="E19" s="16" t="n">
        <f aca="false">IFERROR(E10/E5,0)</f>
        <v>0.381522868200454</v>
      </c>
      <c r="F19" s="16" t="n">
        <f aca="false">IFERROR(F10/F5,0)</f>
        <v>0.367392391600437</v>
      </c>
      <c r="G19" s="16" t="n">
        <f aca="false">IFERROR(G10/G5,0)</f>
        <v>0.352696695936419</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1/(1+Inputs!$B$19+Inputs!$K$89)^1</f>
        <v>0.87719298245614</v>
      </c>
      <c r="E21" s="52" t="n">
        <f aca="false">1/(1+Inputs!$B$19+Inputs!$K$89)^2</f>
        <v>0.769467528470298</v>
      </c>
      <c r="F21" s="52" t="n">
        <f aca="false">1/(1+Inputs!$B$19+Inputs!$K$89)^3</f>
        <v>0.674971516202016</v>
      </c>
      <c r="G21" s="52" t="n">
        <f aca="false">1/(1+Inputs!$B$19+Inputs!$K$89)^4</f>
        <v>0.592080277370189</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2169.12</v>
      </c>
      <c r="E25" s="34" t="n">
        <f aca="false">E5*E24</f>
        <v>8405.34</v>
      </c>
      <c r="F25" s="34" t="n">
        <f aca="false">F5*F24</f>
        <v>22694.418</v>
      </c>
      <c r="G25" s="34" t="n">
        <f aca="false">G5*G24</f>
        <v>42552.03375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17352.96</v>
      </c>
      <c r="E27" s="34" t="n">
        <f aca="false">E25*E26</f>
        <v>67242.72</v>
      </c>
      <c r="F27" s="34" t="n">
        <f aca="false">F25*F26</f>
        <v>181555.344</v>
      </c>
      <c r="G27" s="34" t="n">
        <f aca="false">G25*G26</f>
        <v>340416.27</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2602.944</v>
      </c>
      <c r="E29" s="36" t="n">
        <f aca="false">E27*E28</f>
        <v>10086.408</v>
      </c>
      <c r="F29" s="36" t="n">
        <f aca="false">F27*F28</f>
        <v>27233.3016</v>
      </c>
      <c r="G29" s="36" t="n">
        <f aca="false">G27*G28</f>
        <v>51062.4405</v>
      </c>
    </row>
    <row r="30" customFormat="false" ht="15" hidden="false" customHeight="true" outlineLevel="0" collapsed="false">
      <c r="A30" s="13" t="s">
        <v>570</v>
      </c>
      <c r="C30" s="34" t="n">
        <f aca="false">C25*Inputs!$C$103</f>
        <v>0</v>
      </c>
      <c r="D30" s="34" t="n">
        <f aca="false">D25*Inputs!$C$103</f>
        <v>650.736</v>
      </c>
      <c r="E30" s="34" t="n">
        <f aca="false">E25*Inputs!$C$103</f>
        <v>2521.602</v>
      </c>
      <c r="F30" s="34" t="n">
        <f aca="false">F25*Inputs!$C$103</f>
        <v>6808.3254</v>
      </c>
      <c r="G30" s="34" t="n">
        <f aca="false">G25*Inputs!$C$103</f>
        <v>12765.610125</v>
      </c>
    </row>
    <row r="31" customFormat="false" ht="15" hidden="false" customHeight="true" outlineLevel="0" collapsed="false">
      <c r="A31" s="13" t="s">
        <v>571</v>
      </c>
      <c r="C31" s="34" t="n">
        <f aca="false">C29-C30</f>
        <v>0</v>
      </c>
      <c r="D31" s="34" t="n">
        <f aca="false">D29-D30</f>
        <v>1952.208</v>
      </c>
      <c r="E31" s="34" t="n">
        <f aca="false">E29-E30</f>
        <v>7564.806</v>
      </c>
      <c r="F31" s="34" t="n">
        <f aca="false">F29-F30</f>
        <v>20424.9762</v>
      </c>
      <c r="G31" s="34" t="n">
        <f aca="false">G29-G30</f>
        <v>38296.830375</v>
      </c>
    </row>
    <row r="32" customFormat="false" ht="15" hidden="false" customHeight="true" outlineLevel="0" collapsed="false">
      <c r="A32" s="13" t="s">
        <v>572</v>
      </c>
      <c r="C32" s="34" t="n">
        <f aca="false">C29*Inputs!$C$104</f>
        <v>0</v>
      </c>
      <c r="D32" s="34" t="n">
        <f aca="false">D29*Inputs!$C$104</f>
        <v>520.5888</v>
      </c>
      <c r="E32" s="34" t="n">
        <f aca="false">E29*Inputs!$C$104</f>
        <v>2017.2816</v>
      </c>
      <c r="F32" s="34" t="n">
        <f aca="false">F29*Inputs!$C$104</f>
        <v>5446.66032</v>
      </c>
      <c r="G32" s="34" t="n">
        <f aca="false">G29*Inputs!$C$104</f>
        <v>10212.4881</v>
      </c>
    </row>
    <row r="33" customFormat="false" ht="15" hidden="false" customHeight="true" outlineLevel="0" collapsed="false">
      <c r="A33" s="13" t="s">
        <v>573</v>
      </c>
      <c r="C33" s="34" t="n">
        <f aca="false">C29*Inputs!$C$105</f>
        <v>0</v>
      </c>
      <c r="D33" s="34" t="n">
        <f aca="false">D29*Inputs!$C$105</f>
        <v>390.4416</v>
      </c>
      <c r="E33" s="34" t="n">
        <f aca="false">E29*Inputs!$C$105</f>
        <v>1512.9612</v>
      </c>
      <c r="F33" s="34" t="n">
        <f aca="false">F29*Inputs!$C$105</f>
        <v>4084.99524</v>
      </c>
      <c r="G33" s="34" t="n">
        <f aca="false">G29*Inputs!$C$105</f>
        <v>7659.366075</v>
      </c>
    </row>
    <row r="34" customFormat="false" ht="15" hidden="false" customHeight="true" outlineLevel="0" collapsed="false">
      <c r="A34" s="13" t="s">
        <v>574</v>
      </c>
      <c r="C34" s="34" t="n">
        <f aca="false">C29*Inputs!$C$106</f>
        <v>0</v>
      </c>
      <c r="D34" s="34" t="n">
        <f aca="false">D29*Inputs!$C$106</f>
        <v>260.2944</v>
      </c>
      <c r="E34" s="34" t="n">
        <f aca="false">E29*Inputs!$C$106</f>
        <v>1008.6408</v>
      </c>
      <c r="F34" s="34" t="n">
        <f aca="false">F29*Inputs!$C$106</f>
        <v>2723.33016</v>
      </c>
      <c r="G34" s="34" t="n">
        <f aca="false">G29*Inputs!$C$106</f>
        <v>5106.24405</v>
      </c>
    </row>
    <row r="35" customFormat="false" ht="15" hidden="false" customHeight="true" outlineLevel="0" collapsed="false">
      <c r="A35" s="10" t="s">
        <v>575</v>
      </c>
      <c r="C35" s="35" t="n">
        <f aca="false">C29-C30-C32-C33-C34</f>
        <v>0</v>
      </c>
      <c r="D35" s="35" t="n">
        <f aca="false">D29-D30-D32-D33-D34</f>
        <v>780.8832</v>
      </c>
      <c r="E35" s="35" t="n">
        <f aca="false">E29-E30-E32-E33-E34</f>
        <v>3025.9224</v>
      </c>
      <c r="F35" s="35" t="n">
        <f aca="false">F29-F30-F32-F33-F34</f>
        <v>8169.99048</v>
      </c>
      <c r="G35" s="35" t="n">
        <f aca="false">G29-G30-G32-G33-G34</f>
        <v>15318.73215</v>
      </c>
    </row>
    <row r="36" customFormat="false" ht="15" hidden="false" customHeight="true" outlineLevel="0" collapsed="false">
      <c r="A36" s="13" t="s">
        <v>91</v>
      </c>
      <c r="C36" s="54" t="n">
        <f aca="false">IFERROR(C27/Inputs!$B$27,0)</f>
        <v>0</v>
      </c>
      <c r="D36" s="54" t="n">
        <f aca="false">IFERROR(D27/Inputs!$B$27,0)</f>
        <v>0.000433824</v>
      </c>
      <c r="E36" s="54" t="n">
        <f aca="false">IFERROR(E27/Inputs!$B$27,0)</f>
        <v>0.001681068</v>
      </c>
      <c r="F36" s="54" t="n">
        <f aca="false">IFERROR(F27/Inputs!$B$27,0)</f>
        <v>0.0045388836</v>
      </c>
      <c r="G36" s="54" t="n">
        <f aca="false">IFERROR(G27/Inputs!$B$27,0)</f>
        <v>0.00851040675</v>
      </c>
    </row>
    <row r="37" customFormat="false" ht="15" hidden="false" customHeight="true" outlineLevel="0" collapsed="false">
      <c r="A37" s="13" t="s">
        <v>576</v>
      </c>
      <c r="C37" s="34" t="n">
        <f aca="false">CHOOSE(Inputs!$B$35,C31*Inputs!B$55,C29*Inputs!$B$36,0)</f>
        <v>0</v>
      </c>
      <c r="D37" s="34" t="n">
        <f aca="false">CHOOSE(Inputs!$B$35,D31*Inputs!C$55,D29*Inputs!$B$36,0)</f>
        <v>78.08832</v>
      </c>
      <c r="E37" s="34" t="n">
        <f aca="false">CHOOSE(Inputs!$B$35,E31*Inputs!D$55,E29*Inputs!$B$36,0)</f>
        <v>378.2403</v>
      </c>
      <c r="F37" s="34" t="n">
        <f aca="false">CHOOSE(Inputs!$B$35,F31*Inputs!E$55,F29*Inputs!$B$36,0)</f>
        <v>1021.24881</v>
      </c>
      <c r="G37" s="34" t="n">
        <f aca="false">CHOOSE(Inputs!$B$35,G31*Inputs!F$55,G29*Inputs!$B$36,0)</f>
        <v>1914.84151875</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Inputs!$K$92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44232.13</v>
      </c>
      <c r="E44" s="34" t="n">
        <f aca="false">E10*Inputs!$B$39</f>
        <v>64136.5885</v>
      </c>
      <c r="F44" s="34" t="n">
        <f aca="false">F10*Inputs!$B$39</f>
        <v>83377.56505</v>
      </c>
      <c r="G44" s="34" t="n">
        <f aca="false">G10*Inputs!$B$39</f>
        <v>100053.07806</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108456</v>
      </c>
      <c r="E49" s="34" t="n">
        <f aca="false">E5</f>
        <v>168106.8</v>
      </c>
      <c r="F49" s="34" t="n">
        <f aca="false">F5</f>
        <v>226944.18</v>
      </c>
      <c r="G49" s="34" t="n">
        <f aca="false">G5</f>
        <v>283680.225</v>
      </c>
    </row>
    <row r="50" customFormat="false" ht="15" hidden="false" customHeight="true" outlineLevel="0" collapsed="false">
      <c r="A50" s="13" t="s">
        <v>558</v>
      </c>
      <c r="C50" s="34" t="n">
        <f aca="false">C17</f>
        <v>1681.57633059282</v>
      </c>
      <c r="D50" s="34" t="n">
        <f aca="false">D17</f>
        <v>21926.03</v>
      </c>
      <c r="E50" s="34" t="n">
        <f aca="false">E17</f>
        <v>43451.7635</v>
      </c>
      <c r="F50" s="34" t="n">
        <f aca="false">F17</f>
        <v>68675.03555</v>
      </c>
      <c r="G50" s="34" t="n">
        <f aca="false">G17</f>
        <v>92849.4749400001</v>
      </c>
    </row>
    <row r="51" customFormat="false" ht="15" hidden="false" customHeight="true" outlineLevel="0" collapsed="false">
      <c r="A51" s="13" t="s">
        <v>586</v>
      </c>
      <c r="C51" s="34" t="n">
        <f aca="false">C5*Inputs!B$55</f>
        <v>1626.84</v>
      </c>
      <c r="D51" s="34" t="n">
        <f aca="false">D5*Inputs!C$55</f>
        <v>4338.24</v>
      </c>
      <c r="E51" s="34" t="n">
        <f aca="false">E5*Inputs!D$55</f>
        <v>8405.34</v>
      </c>
      <c r="F51" s="34" t="n">
        <f aca="false">F5*Inputs!E$55</f>
        <v>11347.209</v>
      </c>
      <c r="G51" s="34" t="n">
        <f aca="false">G5*Inputs!F$55</f>
        <v>14184.01125</v>
      </c>
    </row>
    <row r="52" customFormat="false" ht="15" hidden="false" customHeight="true" outlineLevel="0" collapsed="false">
      <c r="A52" s="13" t="s">
        <v>587</v>
      </c>
      <c r="C52" s="33" t="n">
        <v>0</v>
      </c>
      <c r="D52" s="34" t="n">
        <f aca="false">SUMPRODUCT($D51:D51,--((4-COLUMN($D51:D51))&lt;Inputs!$B$32))/Inputs!$B$32</f>
        <v>867.648</v>
      </c>
      <c r="E52" s="34" t="n">
        <f aca="false">SUMPRODUCT($D51:E51,--((5-COLUMN($D51:E51))&lt;Inputs!$B$32))/Inputs!$B$32</f>
        <v>2548.716</v>
      </c>
      <c r="F52" s="34" t="n">
        <f aca="false">SUMPRODUCT($D51:F51,--((6-COLUMN($D51:F51))&lt;Inputs!$B$32))/Inputs!$B$32</f>
        <v>4818.1578</v>
      </c>
      <c r="G52" s="34" t="n">
        <f aca="false">SUMPRODUCT($D51:G51,--((7-COLUMN($D51:G51))&lt;Inputs!$B$32))/Inputs!$B$32</f>
        <v>7654.96005</v>
      </c>
    </row>
    <row r="53" customFormat="false" ht="15" hidden="false" customHeight="true" outlineLevel="0" collapsed="false">
      <c r="A53" s="10" t="s">
        <v>588</v>
      </c>
      <c r="C53" s="36" t="n">
        <f aca="false">C50-C52</f>
        <v>1681.57633059282</v>
      </c>
      <c r="D53" s="36" t="n">
        <f aca="false">D50-D52</f>
        <v>21058.382</v>
      </c>
      <c r="E53" s="36" t="n">
        <f aca="false">E50-E52</f>
        <v>40903.0475</v>
      </c>
      <c r="F53" s="36" t="n">
        <f aca="false">F50-F52</f>
        <v>63856.87775</v>
      </c>
      <c r="G53" s="36" t="n">
        <f aca="false">G50-G52</f>
        <v>85194.5148900001</v>
      </c>
    </row>
    <row r="54" customFormat="false" ht="15" hidden="false" customHeight="true" outlineLevel="0" collapsed="false">
      <c r="A54" s="13" t="s">
        <v>589</v>
      </c>
      <c r="C54" s="16" t="n">
        <f aca="false">IFERROR(C53/C49,0)</f>
        <v>0.0310093739505942</v>
      </c>
      <c r="D54" s="16" t="n">
        <f aca="false">IFERROR(D53/D49,0)</f>
        <v>0.194165209854688</v>
      </c>
      <c r="E54" s="16" t="n">
        <f aca="false">IFERROR(E53/E49,0)</f>
        <v>0.243315841476966</v>
      </c>
      <c r="F54" s="16" t="n">
        <f aca="false">IFERROR(F53/F49,0)</f>
        <v>0.28137702297543</v>
      </c>
      <c r="G54" s="16" t="n">
        <f aca="false">IFERROR(G53/G49,0)</f>
        <v>0.300318835724274</v>
      </c>
    </row>
    <row r="55" customFormat="false" ht="15" hidden="false" customHeight="true" outlineLevel="0" collapsed="false">
      <c r="A55" s="13" t="s">
        <v>590</v>
      </c>
      <c r="C55" s="34" t="n">
        <f aca="false">Historicals!F43+C80*Inputs!$B$20/2</f>
        <v>2756.6375</v>
      </c>
      <c r="D55" s="34" t="n">
        <f aca="false">MAX(0,D80-D81)*Inputs!$B$20</f>
        <v>3507.94776314153</v>
      </c>
      <c r="E55" s="34" t="n">
        <f aca="false">MAX(0,E80-E81)*Inputs!$B$20</f>
        <v>4159.62575483859</v>
      </c>
      <c r="F55" s="34" t="n">
        <f aca="false">MAX(0,F80-F81)*Inputs!$B$20</f>
        <v>5200.96407880063</v>
      </c>
      <c r="G55" s="34" t="n">
        <f aca="false">MAX(0,G80-G81)*Inputs!$B$20</f>
        <v>6739.86233927111</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24566.3297631415</v>
      </c>
      <c r="E58" s="34" t="n">
        <f aca="false">E53+E55+E56-E57</f>
        <v>45062.6732548386</v>
      </c>
      <c r="F58" s="34" t="n">
        <f aca="false">F53+F55+F56-F57</f>
        <v>69057.8418288007</v>
      </c>
      <c r="G58" s="34" t="n">
        <f aca="false">G53+G55+G56-G57</f>
        <v>91934.3772292712</v>
      </c>
    </row>
    <row r="59" customFormat="false" ht="15" hidden="false" customHeight="true" outlineLevel="0" collapsed="false">
      <c r="A59" s="13" t="s">
        <v>594</v>
      </c>
      <c r="C59" s="34" t="n">
        <f aca="false">C58*Inputs!$B$46</f>
        <v>3195.51395802683</v>
      </c>
      <c r="D59" s="34" t="n">
        <f aca="false">D58*Inputs!$B$46</f>
        <v>17687.7574294619</v>
      </c>
      <c r="E59" s="34" t="n">
        <f aca="false">E58*Inputs!$B$46</f>
        <v>32445.1247434838</v>
      </c>
      <c r="F59" s="34" t="n">
        <f aca="false">F58*Inputs!$B$46</f>
        <v>49721.6461167365</v>
      </c>
      <c r="G59" s="34" t="n">
        <f aca="false">G58*Inputs!$B$46</f>
        <v>66192.7516050753</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191.73083748161</v>
      </c>
      <c r="D63" s="34" t="n">
        <f aca="false">MAX(0,D59-D61)*Inputs!$B$47</f>
        <v>809.265445767714</v>
      </c>
      <c r="E63" s="34" t="n">
        <f aca="false">MAX(0,E59-E61)*Inputs!$B$47</f>
        <v>1946.70748460903</v>
      </c>
      <c r="F63" s="34" t="n">
        <f aca="false">MAX(0,F59-F61)*Inputs!$B$47</f>
        <v>2983.29876700419</v>
      </c>
      <c r="G63" s="34" t="n">
        <f aca="false">MAX(0,G59-G61)*Inputs!$B$47</f>
        <v>3971.56509630452</v>
      </c>
    </row>
    <row r="64" customFormat="false" ht="15" hidden="false" customHeight="true" outlineLevel="0" collapsed="false">
      <c r="A64" s="13" t="s">
        <v>599</v>
      </c>
      <c r="C64" s="34" t="n">
        <f aca="false">C58-C63</f>
        <v>4246.48299311121</v>
      </c>
      <c r="D64" s="34" t="n">
        <f aca="false">D58-D63</f>
        <v>23757.0643173738</v>
      </c>
      <c r="E64" s="34" t="n">
        <f aca="false">E58-E63</f>
        <v>43115.9657702296</v>
      </c>
      <c r="F64" s="34" t="n">
        <f aca="false">F58-F63</f>
        <v>66074.5430617965</v>
      </c>
      <c r="G64" s="34" t="n">
        <f aca="false">G58-G63</f>
        <v>87962.8121329667</v>
      </c>
    </row>
    <row r="65" customFormat="false" ht="15" hidden="false" customHeight="true" outlineLevel="0" collapsed="false">
      <c r="A65" s="13" t="s">
        <v>600</v>
      </c>
      <c r="C65" s="34" t="n">
        <f aca="false">Inputs!$B$44</f>
        <v>8200</v>
      </c>
      <c r="D65" s="34" t="n">
        <f aca="false">C67</f>
        <v>4802.81360551103</v>
      </c>
      <c r="E65" s="34" t="n">
        <f aca="false">D67</f>
        <v>0</v>
      </c>
      <c r="F65" s="34" t="n">
        <f aca="false">E67</f>
        <v>0</v>
      </c>
      <c r="G65" s="34" t="n">
        <f aca="false">F67</f>
        <v>0</v>
      </c>
    </row>
    <row r="66" customFormat="false" ht="15" hidden="false" customHeight="true" outlineLevel="0" collapsed="false">
      <c r="A66" s="13" t="s">
        <v>601</v>
      </c>
      <c r="C66" s="34" t="n">
        <f aca="false">MIN(C65,Inputs!$B$45*MAX(0,C64))</f>
        <v>3397.18639448897</v>
      </c>
      <c r="D66" s="34" t="n">
        <f aca="false">MIN(D65,Inputs!$B$45*MAX(0,D64))</f>
        <v>4802.81360551103</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0</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178.352285710671</v>
      </c>
      <c r="D68" s="34" t="n">
        <f aca="false">MAX(0,D64-D66)*Inputs!$B$43</f>
        <v>3980.39264949118</v>
      </c>
      <c r="E68" s="34" t="n">
        <f aca="false">MAX(0,E64-E66)*Inputs!$B$43</f>
        <v>9054.35281174821</v>
      </c>
      <c r="F68" s="34" t="n">
        <f aca="false">MAX(0,F64-F66)*Inputs!$B$43</f>
        <v>13875.6540429773</v>
      </c>
      <c r="G68" s="34" t="n">
        <f aca="false">MAX(0,G64-G66)*Inputs!$B$43</f>
        <v>18472.190547923</v>
      </c>
    </row>
    <row r="69" customFormat="false" ht="15" hidden="false" customHeight="true" outlineLevel="0" collapsed="false">
      <c r="A69" s="10" t="s">
        <v>604</v>
      </c>
      <c r="C69" s="36" t="n">
        <f aca="false">IF(Inputs!$K$90=0,MAX(0,C53+C55)*Inputs!B$54,IF(Inputs!$K$90=2,MAX(0,C58)*Inputs!$K$91,C63+C68))</f>
        <v>370.083123192281</v>
      </c>
      <c r="D69" s="36" t="n">
        <f aca="false">IF(Inputs!$K$90=0,MAX(0,D53+D55)*Inputs!C$54,IF(Inputs!$K$90=2,MAX(0,D58)*Inputs!$K$91,D63+D68))</f>
        <v>4789.6580952589</v>
      </c>
      <c r="E69" s="36" t="n">
        <f aca="false">IF(Inputs!$K$90=0,MAX(0,E53+E55)*Inputs!D$54,IF(Inputs!$K$90=2,MAX(0,E58)*Inputs!$K$91,E63+E68))</f>
        <v>11001.0602963572</v>
      </c>
      <c r="F69" s="36" t="n">
        <f aca="false">IF(Inputs!$K$90=0,MAX(0,F53+F55)*Inputs!E$54,IF(Inputs!$K$90=2,MAX(0,F58)*Inputs!$K$91,F63+F68))</f>
        <v>16858.9528099814</v>
      </c>
      <c r="G69" s="36" t="n">
        <f aca="false">IF(Inputs!$K$90=0,MAX(0,G53+G55)*Inputs!F$54,IF(Inputs!$K$90=2,MAX(0,G58)*Inputs!$K$91,G63+G68))</f>
        <v>22443.7556442275</v>
      </c>
    </row>
    <row r="70" customFormat="false" ht="15" hidden="false" customHeight="true" outlineLevel="0" collapsed="false">
      <c r="A70" s="13" t="s">
        <v>605</v>
      </c>
      <c r="C70" s="16" t="n">
        <f aca="false">IF(C58&gt;0,MIN(1,C69/C58),0)</f>
        <v>0.0833856</v>
      </c>
      <c r="D70" s="16" t="n">
        <f aca="false">IF(D58&gt;0,MIN(1,D69/D58),0)</f>
        <v>0.194968403560435</v>
      </c>
      <c r="E70" s="16" t="n">
        <f aca="false">IF(E58&gt;0,MIN(1,E69/E58),0)</f>
        <v>0.244128</v>
      </c>
      <c r="F70" s="16" t="n">
        <f aca="false">IF(F58&gt;0,MIN(1,F69/F58),0)</f>
        <v>0.244128</v>
      </c>
      <c r="G70" s="16" t="n">
        <f aca="false">IF(G58&gt;0,MIN(1,G69/G58),0)</f>
        <v>0.244128</v>
      </c>
    </row>
    <row r="71" customFormat="false" ht="15" hidden="false" customHeight="true" outlineLevel="0" collapsed="false">
      <c r="A71" s="13" t="s">
        <v>606</v>
      </c>
      <c r="C71" s="34" t="n">
        <f aca="false">C53+C55-C69</f>
        <v>4068.13070740054</v>
      </c>
      <c r="D71" s="34" t="n">
        <f aca="false">D53+D55-D69</f>
        <v>19776.6716678826</v>
      </c>
      <c r="E71" s="34" t="n">
        <f aca="false">E53+E55-E69</f>
        <v>34061.6129584814</v>
      </c>
      <c r="F71" s="34" t="n">
        <f aca="false">F53+F55-F69</f>
        <v>52198.8890188192</v>
      </c>
      <c r="G71" s="34" t="n">
        <f aca="false">G53+G55-G69</f>
        <v>69490.6215850437</v>
      </c>
    </row>
    <row r="72" customFormat="false" ht="15" hidden="false" customHeight="true" outlineLevel="0" collapsed="false">
      <c r="A72" s="13" t="s">
        <v>607</v>
      </c>
      <c r="C72" s="34" t="n">
        <f aca="false">C12+C20</f>
        <v>8451.61981826049</v>
      </c>
      <c r="D72" s="34" t="n">
        <f aca="false">D12+D20</f>
        <v>9761.04</v>
      </c>
      <c r="E72" s="34" t="n">
        <f aca="false">E12+E20</f>
        <v>13448.544</v>
      </c>
      <c r="F72" s="34" t="n">
        <f aca="false">F12+F20</f>
        <v>15886.0926</v>
      </c>
      <c r="G72" s="34" t="n">
        <f aca="false">G12+G20</f>
        <v>17020.8135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10892.910525661</v>
      </c>
      <c r="D75" s="36" t="n">
        <f aca="false">D53+D72+D52+D55-D69-D51+D73+D74</f>
        <v>26067.1196678826</v>
      </c>
      <c r="E75" s="36" t="n">
        <f aca="false">E53+E72+E52+E55-E69-E51+E73+E74</f>
        <v>41653.5329584814</v>
      </c>
      <c r="F75" s="36" t="n">
        <f aca="false">F53+F72+F52+F55-F69-F51+F73+F74</f>
        <v>61555.9304188192</v>
      </c>
      <c r="G75" s="36" t="n">
        <f aca="false">G53+G72+G52+G55-G69-G51+G73+G74</f>
        <v>79982.3838850437</v>
      </c>
    </row>
    <row r="76" customFormat="false" ht="15" hidden="false" customHeight="true" outlineLevel="0" collapsed="false">
      <c r="A76" s="10" t="s">
        <v>611</v>
      </c>
      <c r="C76" s="36" t="n">
        <f aca="false">C53+C52-(C69-C55*C70)-C51+C73+C74</f>
        <v>-85.4829206794611</v>
      </c>
      <c r="D76" s="36" t="n">
        <f aca="false">D53+D52-(D69-D55*D70)-D51+D73+D74</f>
        <v>13482.0708798942</v>
      </c>
      <c r="E76" s="36" t="n">
        <f aca="false">E53+E52-(E69-E55*E70)-E51+E73+E74</f>
        <v>25060.84431992</v>
      </c>
      <c r="F76" s="36" t="n">
        <f aca="false">F53+F52-(F69-F55*F70)-F51+F73+F74</f>
        <v>41738.574698648</v>
      </c>
      <c r="G76" s="36" t="n">
        <f aca="false">G53+G52-(G69-G55*G70)-G51+G73+G74</f>
        <v>57867.0971589342</v>
      </c>
    </row>
    <row r="77" customFormat="false" ht="15" hidden="false" customHeight="true" outlineLevel="0" collapsed="false">
      <c r="A77" s="13" t="s">
        <v>612</v>
      </c>
      <c r="C77" s="16" t="n">
        <f aca="false">IFERROR(C76/C49,0)</f>
        <v>-0.00157636130190052</v>
      </c>
      <c r="D77" s="16" t="n">
        <f aca="false">IFERROR(D76/D49,0)</f>
        <v>0.124309128862342</v>
      </c>
      <c r="E77" s="16" t="n">
        <f aca="false">IFERROR(E76/E49,0)</f>
        <v>0.149076922051458</v>
      </c>
      <c r="F77" s="16" t="n">
        <f aca="false">IFERROR(F76/F49,0)</f>
        <v>0.183915598534618</v>
      </c>
      <c r="G77" s="16" t="n">
        <f aca="false">IFERROR(G76/G49,0)</f>
        <v>0.203987067335885</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140317.910525661</v>
      </c>
      <c r="E80" s="34" t="n">
        <f aca="false">D85</f>
        <v>166385.030193544</v>
      </c>
      <c r="F80" s="34" t="n">
        <f aca="false">E85</f>
        <v>208038.563152025</v>
      </c>
      <c r="G80" s="34" t="n">
        <f aca="false">F85</f>
        <v>269594.493570844</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8666.91052566103</v>
      </c>
      <c r="D82" s="34" t="n">
        <f aca="false">D75</f>
        <v>26067.1196678826</v>
      </c>
      <c r="E82" s="34" t="n">
        <f aca="false">E75</f>
        <v>41653.5329584814</v>
      </c>
      <c r="F82" s="34" t="n">
        <f aca="false">F75</f>
        <v>61555.9304188192</v>
      </c>
      <c r="G82" s="34" t="n">
        <f aca="false">G75</f>
        <v>79982.3838850437</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140317.910525661</v>
      </c>
      <c r="D85" s="36" t="n">
        <f aca="false">D80+D82+D83+D84</f>
        <v>166385.030193544</v>
      </c>
      <c r="E85" s="36" t="n">
        <f aca="false">E80+E82+E83+E84</f>
        <v>208038.563152025</v>
      </c>
      <c r="F85" s="36" t="n">
        <f aca="false">F80+F82+F83+F84</f>
        <v>269594.493570844</v>
      </c>
      <c r="G85" s="36" t="n">
        <f aca="false">G80+G82+G83+G84</f>
        <v>349576.877455888</v>
      </c>
    </row>
    <row r="86" customFormat="false" ht="15" hidden="false" customHeight="true" outlineLevel="0" collapsed="false">
      <c r="A86" s="13" t="s">
        <v>622</v>
      </c>
      <c r="C86" s="34" t="n">
        <f aca="false">MIN(C80-C81,C85)</f>
        <v>131651</v>
      </c>
      <c r="D86" s="34" t="n">
        <f aca="false">MIN(D80-D81,D85)</f>
        <v>140317.910525661</v>
      </c>
      <c r="E86" s="34" t="n">
        <f aca="false">MIN(E80-E81,E85)</f>
        <v>166385.030193544</v>
      </c>
      <c r="F86" s="34" t="n">
        <f aca="false">MIN(F80-F81,F85)</f>
        <v>208038.563152025</v>
      </c>
      <c r="G86" s="34" t="n">
        <f aca="false">MIN(G80-G81,G85)</f>
        <v>269594.493570844</v>
      </c>
    </row>
    <row r="87" customFormat="false" ht="15" hidden="false" customHeight="true" outlineLevel="0" collapsed="false">
      <c r="A87" s="13" t="s">
        <v>623</v>
      </c>
      <c r="C87" s="34" t="n">
        <f aca="false">C86-Inputs!$B$29</f>
        <v>126651</v>
      </c>
      <c r="D87" s="34" t="n">
        <f aca="false">D86-Inputs!$B$29</f>
        <v>135317.910525661</v>
      </c>
      <c r="E87" s="34" t="n">
        <f aca="false">E86-Inputs!$B$29</f>
        <v>161385.030193544</v>
      </c>
      <c r="F87" s="34" t="n">
        <f aca="false">F86-Inputs!$B$29</f>
        <v>203038.563152025</v>
      </c>
      <c r="G87" s="34" t="n">
        <f aca="false">G86-Inputs!$B$29</f>
        <v>264594.493570844</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140317.910525661</v>
      </c>
      <c r="D100" s="34" t="n">
        <f aca="false">D85+SUM($C97:D97)+SUM($C98:D98)-SUM($C99:D99)</f>
        <v>166385.030193544</v>
      </c>
      <c r="E100" s="34" t="n">
        <f aca="false">E85+SUM($C97:E97)+SUM($C98:E98)-SUM($C99:E99)</f>
        <v>208038.563152025</v>
      </c>
      <c r="F100" s="34" t="n">
        <f aca="false">F85+SUM($C97:F97)+SUM($C98:F98)-SUM($C99:F99)</f>
        <v>269594.493570844</v>
      </c>
      <c r="G100" s="34" t="n">
        <f aca="false">G85+SUM($C97:G97)+SUM($C98:G98)-SUM($C99:G99)</f>
        <v>349576.877455888</v>
      </c>
    </row>
    <row r="101" customFormat="false" ht="15" hidden="false" customHeight="true" outlineLevel="0" collapsed="false">
      <c r="A101" s="13" t="s">
        <v>637</v>
      </c>
      <c r="C101" s="34" t="n">
        <f aca="false">MIN(C80-C81+0+C97,C100)</f>
        <v>131651</v>
      </c>
      <c r="D101" s="34" t="n">
        <f aca="false">MIN(D80-D81+SUM($C97:C97)+SUM($C98:C98)-SUM($C99:C99)+D97,D100)</f>
        <v>140317.910525661</v>
      </c>
      <c r="E101" s="34" t="n">
        <f aca="false">MIN(E80-E81+SUM($C97:D97)+SUM($C98:D98)-SUM($C99:D99)+E97,E100)</f>
        <v>166385.030193544</v>
      </c>
      <c r="F101" s="34" t="n">
        <f aca="false">MIN(F80-F81+SUM($C97:E97)+SUM($C98:E98)-SUM($C99:E99)+F97,F100)</f>
        <v>208038.563152025</v>
      </c>
      <c r="G101" s="34" t="n">
        <f aca="false">MIN(G80-G81+SUM($C97:F97)+SUM($C98:F98)-SUM($C99:F99)+G97,G100)</f>
        <v>269594.493570844</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110408.208</v>
      </c>
      <c r="E105" s="34" t="n">
        <f aca="false">E5+E31</f>
        <v>175671.606</v>
      </c>
      <c r="F105" s="34" t="n">
        <f aca="false">F5+F31</f>
        <v>247369.1562</v>
      </c>
      <c r="G105" s="34" t="n">
        <f aca="false">G5+G31</f>
        <v>321977.055375</v>
      </c>
    </row>
    <row r="106" customFormat="false" ht="15" hidden="false" customHeight="true" outlineLevel="0" collapsed="false">
      <c r="A106" s="13" t="s">
        <v>558</v>
      </c>
      <c r="C106" s="34" t="n">
        <f aca="false">C17+C35</f>
        <v>1681.57633059282</v>
      </c>
      <c r="D106" s="34" t="n">
        <f aca="false">D17+D35</f>
        <v>22706.9132</v>
      </c>
      <c r="E106" s="34" t="n">
        <f aca="false">E17+E35</f>
        <v>46477.6859</v>
      </c>
      <c r="F106" s="34" t="n">
        <f aca="false">F17+F35</f>
        <v>76845.02603</v>
      </c>
      <c r="G106" s="34" t="n">
        <f aca="false">G17+G35</f>
        <v>108168.20709</v>
      </c>
    </row>
    <row r="107" customFormat="false" ht="15" hidden="false" customHeight="true" outlineLevel="0" collapsed="false">
      <c r="A107" s="13" t="s">
        <v>586</v>
      </c>
      <c r="C107" s="34" t="n">
        <f aca="false">C51+C37</f>
        <v>1626.84</v>
      </c>
      <c r="D107" s="34" t="n">
        <f aca="false">D51+D37</f>
        <v>4416.32832</v>
      </c>
      <c r="E107" s="34" t="n">
        <f aca="false">E51+E37</f>
        <v>8783.5803</v>
      </c>
      <c r="F107" s="34" t="n">
        <f aca="false">F51+F37</f>
        <v>12368.45781</v>
      </c>
      <c r="G107" s="34" t="n">
        <f aca="false">G51+G37</f>
        <v>16098.85276875</v>
      </c>
    </row>
    <row r="108" customFormat="false" ht="15" hidden="false" customHeight="true" outlineLevel="0" collapsed="false">
      <c r="A108" s="13" t="s">
        <v>587</v>
      </c>
      <c r="C108" s="33" t="n">
        <v>0</v>
      </c>
      <c r="D108" s="34" t="n">
        <f aca="false">SUMPRODUCT($D107:D107,--((4-COLUMN($D107:D107))&lt;Inputs!$B$32))/Inputs!$B$32</f>
        <v>883.265664</v>
      </c>
      <c r="E108" s="34" t="n">
        <f aca="false">SUMPRODUCT($D107:E107,--((5-COLUMN($D107:E107))&lt;Inputs!$B$32))/Inputs!$B$32</f>
        <v>2639.981724</v>
      </c>
      <c r="F108" s="34" t="n">
        <f aca="false">SUMPRODUCT($D107:F107,--((6-COLUMN($D107:F107))&lt;Inputs!$B$32))/Inputs!$B$32</f>
        <v>5113.673286</v>
      </c>
      <c r="G108" s="34" t="n">
        <f aca="false">SUMPRODUCT($D107:G107,--((7-COLUMN($D107:G107))&lt;Inputs!$B$32))/Inputs!$B$32</f>
        <v>8333.44383975</v>
      </c>
    </row>
    <row r="109" customFormat="false" ht="15" hidden="false" customHeight="true" outlineLevel="0" collapsed="false">
      <c r="A109" s="10" t="s">
        <v>588</v>
      </c>
      <c r="C109" s="36" t="n">
        <f aca="false">C106-C108</f>
        <v>1681.57633059282</v>
      </c>
      <c r="D109" s="36" t="n">
        <f aca="false">D106-D108</f>
        <v>21823.647536</v>
      </c>
      <c r="E109" s="36" t="n">
        <f aca="false">E106-E108</f>
        <v>43837.704176</v>
      </c>
      <c r="F109" s="36" t="n">
        <f aca="false">F106-F108</f>
        <v>71731.352744</v>
      </c>
      <c r="G109" s="36" t="n">
        <f aca="false">G106-G108</f>
        <v>99834.7632502501</v>
      </c>
    </row>
    <row r="110" customFormat="false" ht="15" hidden="false" customHeight="true" outlineLevel="0" collapsed="false">
      <c r="A110" s="13" t="s">
        <v>589</v>
      </c>
      <c r="C110" s="16" t="n">
        <f aca="false">IFERROR(C109/C105,0)</f>
        <v>0.0310093739505942</v>
      </c>
      <c r="D110" s="16" t="n">
        <f aca="false">IFERROR(D109/D105,0)</f>
        <v>0.1976632709771</v>
      </c>
      <c r="E110" s="16" t="n">
        <f aca="false">IFERROR(E109/E105,0)</f>
        <v>0.249543481580057</v>
      </c>
      <c r="F110" s="16" t="n">
        <f aca="false">IFERROR(F109/F105,0)</f>
        <v>0.289976947190638</v>
      </c>
      <c r="G110" s="16" t="n">
        <f aca="false">IFERROR(G109/G105,0)</f>
        <v>0.310067942990455</v>
      </c>
    </row>
    <row r="111" customFormat="false" ht="15" hidden="false" customHeight="true" outlineLevel="0" collapsed="false">
      <c r="A111" s="13" t="s">
        <v>590</v>
      </c>
      <c r="C111" s="34" t="n">
        <f aca="false">Historicals!F43+C136*Inputs!$B$20/2</f>
        <v>2756.6375</v>
      </c>
      <c r="D111" s="34" t="n">
        <f aca="false">MAX(0,D136-D137)*Inputs!$B$20</f>
        <v>3507.94776314153</v>
      </c>
      <c r="E111" s="34" t="n">
        <f aca="false">MAX(0,E136-E137)*Inputs!$B$20</f>
        <v>4172.52505821928</v>
      </c>
      <c r="F111" s="34" t="n">
        <f aca="false">MAX(0,F136-F137)*Inputs!$B$20</f>
        <v>5262.38839361247</v>
      </c>
      <c r="G111" s="34" t="n">
        <f aca="false">MAX(0,G136-G137)*Inputs!$B$20</f>
        <v>6933.10642304171</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25331.5952991415</v>
      </c>
      <c r="E114" s="34" t="n">
        <f aca="false">E109+E111+E112-E113</f>
        <v>48010.2292342193</v>
      </c>
      <c r="F114" s="34" t="n">
        <f aca="false">F109+F111+F112-F113</f>
        <v>76993.7411376125</v>
      </c>
      <c r="G114" s="34" t="n">
        <f aca="false">G109+G111+G112-G113</f>
        <v>106767.869673292</v>
      </c>
    </row>
    <row r="115" customFormat="false" ht="15" hidden="false" customHeight="true" outlineLevel="0" collapsed="false">
      <c r="A115" s="13" t="s">
        <v>594</v>
      </c>
      <c r="C115" s="34" t="n">
        <f aca="false">C114*Inputs!$B$46</f>
        <v>3195.51395802683</v>
      </c>
      <c r="D115" s="34" t="n">
        <f aca="false">D114*Inputs!$B$46</f>
        <v>18238.7486153819</v>
      </c>
      <c r="E115" s="34" t="n">
        <f aca="false">E114*Inputs!$B$46</f>
        <v>34567.3650486379</v>
      </c>
      <c r="F115" s="34" t="n">
        <f aca="false">F114*Inputs!$B$46</f>
        <v>55435.493619081</v>
      </c>
      <c r="G115" s="34" t="n">
        <f aca="false">G114*Inputs!$B$46</f>
        <v>76872.8661647701</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191.73083748161</v>
      </c>
      <c r="D119" s="34" t="n">
        <f aca="false">MAX(0,D115-D117)*Inputs!$B$47</f>
        <v>842.324916922914</v>
      </c>
      <c r="E119" s="34" t="n">
        <f aca="false">MAX(0,E115-E117)*Inputs!$B$47</f>
        <v>2074.04190291827</v>
      </c>
      <c r="F119" s="34" t="n">
        <f aca="false">MAX(0,F115-F117)*Inputs!$B$47</f>
        <v>3326.12961714486</v>
      </c>
      <c r="G119" s="34" t="n">
        <f aca="false">MAX(0,G115-G117)*Inputs!$B$47</f>
        <v>4612.37196988621</v>
      </c>
    </row>
    <row r="120" customFormat="false" ht="15" hidden="false" customHeight="true" outlineLevel="0" collapsed="false">
      <c r="A120" s="13" t="s">
        <v>599</v>
      </c>
      <c r="C120" s="34" t="n">
        <f aca="false">C114-C119</f>
        <v>4246.48299311121</v>
      </c>
      <c r="D120" s="34" t="n">
        <f aca="false">D114-D119</f>
        <v>24489.2703822186</v>
      </c>
      <c r="E120" s="34" t="n">
        <f aca="false">E114-E119</f>
        <v>45936.187331301</v>
      </c>
      <c r="F120" s="34" t="n">
        <f aca="false">F114-F119</f>
        <v>73667.6115204677</v>
      </c>
      <c r="G120" s="34" t="n">
        <f aca="false">G114-G119</f>
        <v>102155.497703406</v>
      </c>
    </row>
    <row r="121" customFormat="false" ht="15" hidden="false" customHeight="true" outlineLevel="0" collapsed="false">
      <c r="A121" s="13" t="s">
        <v>600</v>
      </c>
      <c r="C121" s="34" t="n">
        <f aca="false">Inputs!$B$44</f>
        <v>8200</v>
      </c>
      <c r="D121" s="34" t="n">
        <f aca="false">C123</f>
        <v>4802.81360551103</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3397.18639448897</v>
      </c>
      <c r="D122" s="34" t="n">
        <f aca="false">MIN(D121,Inputs!$B$45*MAX(0,D120))</f>
        <v>4802.81360551103</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178.352285710671</v>
      </c>
      <c r="D124" s="34" t="n">
        <f aca="false">MAX(0,D120-D122)*Inputs!$B$43</f>
        <v>4134.15592310859</v>
      </c>
      <c r="E124" s="34" t="n">
        <f aca="false">MAX(0,E120-E122)*Inputs!$B$43</f>
        <v>9646.59933957321</v>
      </c>
      <c r="F124" s="34" t="n">
        <f aca="false">MAX(0,F120-F122)*Inputs!$B$43</f>
        <v>15470.1984192982</v>
      </c>
      <c r="G124" s="34" t="n">
        <f aca="false">MAX(0,G120-G122)*Inputs!$B$43</f>
        <v>21452.6545177152</v>
      </c>
    </row>
    <row r="125" customFormat="false" ht="15" hidden="false" customHeight="true" outlineLevel="0" collapsed="false">
      <c r="A125" s="10" t="s">
        <v>604</v>
      </c>
      <c r="C125" s="36" t="n">
        <f aca="false">IF(Inputs!$K$90=0,MAX(0,C109+C111)*Inputs!B$54,IF(Inputs!$K$90=2,MAX(0,C114)*Inputs!$K$91,C119+C124))</f>
        <v>370.083123192281</v>
      </c>
      <c r="D125" s="36" t="n">
        <f aca="false">IF(Inputs!$K$90=0,MAX(0,D109+D111)*Inputs!C$54,IF(Inputs!$K$90=2,MAX(0,D114)*Inputs!$K$91,D119+D124))</f>
        <v>4976.48084003151</v>
      </c>
      <c r="E125" s="36" t="n">
        <f aca="false">IF(Inputs!$K$90=0,MAX(0,E109+E111)*Inputs!D$54,IF(Inputs!$K$90=2,MAX(0,E114)*Inputs!$K$91,E119+E124))</f>
        <v>11720.6412424915</v>
      </c>
      <c r="F125" s="36" t="n">
        <f aca="false">IF(Inputs!$K$90=0,MAX(0,F109+F111)*Inputs!E$54,IF(Inputs!$K$90=2,MAX(0,F114)*Inputs!$K$91,F119+F124))</f>
        <v>18796.3280364431</v>
      </c>
      <c r="G125" s="36" t="n">
        <f aca="false">IF(Inputs!$K$90=0,MAX(0,G109+G111)*Inputs!F$54,IF(Inputs!$K$90=2,MAX(0,G114)*Inputs!$K$91,G119+G124))</f>
        <v>26065.0264876014</v>
      </c>
    </row>
    <row r="126" customFormat="false" ht="15" hidden="false" customHeight="true" outlineLevel="0" collapsed="false">
      <c r="A126" s="13" t="s">
        <v>605</v>
      </c>
      <c r="C126" s="16" t="n">
        <f aca="false">IF(C114&gt;0,MIN(1,C125/C114),0)</f>
        <v>0.0833856</v>
      </c>
      <c r="D126" s="16" t="n">
        <f aca="false">IF(D114&gt;0,MIN(1,D125/D114),0)</f>
        <v>0.196453511169119</v>
      </c>
      <c r="E126" s="16" t="n">
        <f aca="false">IF(E114&gt;0,MIN(1,E125/E114),0)</f>
        <v>0.244128</v>
      </c>
      <c r="F126" s="16" t="n">
        <f aca="false">IF(F114&gt;0,MIN(1,F125/F114),0)</f>
        <v>0.244128</v>
      </c>
      <c r="G126" s="16" t="n">
        <f aca="false">IF(G114&gt;0,MIN(1,G125/G114),0)</f>
        <v>0.244128</v>
      </c>
    </row>
    <row r="127" customFormat="false" ht="15" hidden="false" customHeight="true" outlineLevel="0" collapsed="false">
      <c r="A127" s="13" t="s">
        <v>606</v>
      </c>
      <c r="C127" s="34" t="n">
        <f aca="false">C109+C111-C125</f>
        <v>4068.13070740054</v>
      </c>
      <c r="D127" s="34" t="n">
        <f aca="false">D109+D111-D125</f>
        <v>20355.11445911</v>
      </c>
      <c r="E127" s="34" t="n">
        <f aca="false">E109+E111-E125</f>
        <v>36289.5879917278</v>
      </c>
      <c r="F127" s="34" t="n">
        <f aca="false">F109+F111-F125</f>
        <v>58197.4131011694</v>
      </c>
      <c r="G127" s="34" t="n">
        <f aca="false">G109+G111-G125</f>
        <v>80702.8431856904</v>
      </c>
    </row>
    <row r="128" customFormat="false" ht="15" hidden="false" customHeight="true" outlineLevel="0" collapsed="false">
      <c r="A128" s="13" t="s">
        <v>607</v>
      </c>
      <c r="C128" s="34" t="n">
        <f aca="false">C12+C20</f>
        <v>8451.61981826049</v>
      </c>
      <c r="D128" s="34" t="n">
        <f aca="false">D12+D20</f>
        <v>9761.04</v>
      </c>
      <c r="E128" s="34" t="n">
        <f aca="false">E12+E20</f>
        <v>13448.544</v>
      </c>
      <c r="F128" s="34" t="n">
        <f aca="false">F12+F20</f>
        <v>15886.0926</v>
      </c>
      <c r="G128" s="34" t="n">
        <f aca="false">G12+G20</f>
        <v>17020.8135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10892.910525661</v>
      </c>
      <c r="D131" s="36" t="n">
        <f aca="false">D109+D128+D108+D111-D125-D107+D129+D130</f>
        <v>26583.09180311</v>
      </c>
      <c r="E131" s="36" t="n">
        <f aca="false">E109+E128+E108+E111-E125-E107+E129+E130</f>
        <v>43594.5334157278</v>
      </c>
      <c r="F131" s="36" t="n">
        <f aca="false">F109+F128+F108+F111-F125-F107+F129+F130</f>
        <v>66828.7211771694</v>
      </c>
      <c r="G131" s="36" t="n">
        <f aca="false">G109+G128+G108+G111-G125-G107+G129+G130</f>
        <v>89958.2477566904</v>
      </c>
    </row>
    <row r="132" customFormat="false" ht="15" hidden="false" customHeight="true" outlineLevel="0" collapsed="false">
      <c r="A132" s="10" t="s">
        <v>611</v>
      </c>
      <c r="C132" s="36" t="n">
        <f aca="false">C109+C108-(C125-C111*C126)-C107+C129+C130</f>
        <v>-85.4829206794611</v>
      </c>
      <c r="D132" s="36" t="n">
        <f aca="false">D109+D108-(D125-D111*D126)-D107+D129+D130</f>
        <v>14003.2526950355</v>
      </c>
      <c r="E132" s="36" t="n">
        <f aca="false">E109+E108-(E125-E111*E126)-E107+E129+E130</f>
        <v>26992.0945549215</v>
      </c>
      <c r="F132" s="36" t="n">
        <f aca="false">F109+F108-(F125-F111*F126)-F107+F129+F130</f>
        <v>46964.9365373128</v>
      </c>
      <c r="G132" s="36" t="n">
        <f aca="false">G109+G108-(G125-G111*G126)-G107+G129+G130</f>
        <v>67696.893238493</v>
      </c>
    </row>
    <row r="133" customFormat="false" ht="15" hidden="false" customHeight="true" outlineLevel="0" collapsed="false">
      <c r="A133" s="13" t="s">
        <v>612</v>
      </c>
      <c r="C133" s="16" t="n">
        <f aca="false">IFERROR(C132/C105,0)</f>
        <v>-0.00157636130190052</v>
      </c>
      <c r="D133" s="16" t="n">
        <f aca="false">IFERROR(D132/D105,0)</f>
        <v>0.126831627364476</v>
      </c>
      <c r="E133" s="16" t="n">
        <f aca="false">IFERROR(E132/E105,0)</f>
        <v>0.153650866918821</v>
      </c>
      <c r="F133" s="16" t="n">
        <f aca="false">IFERROR(F132/F105,0)</f>
        <v>0.189857689854192</v>
      </c>
      <c r="G133" s="16" t="n">
        <f aca="false">IFERROR(G132/G105,0)</f>
        <v>0.210253780846737</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140317.910525661</v>
      </c>
      <c r="E136" s="34" t="n">
        <f aca="false">D141</f>
        <v>166901.002328771</v>
      </c>
      <c r="F136" s="34" t="n">
        <f aca="false">E141</f>
        <v>210495.535744499</v>
      </c>
      <c r="G136" s="34" t="n">
        <f aca="false">F141</f>
        <v>277324.256921668</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8666.91052566103</v>
      </c>
      <c r="D138" s="34" t="n">
        <f aca="false">D131</f>
        <v>26583.09180311</v>
      </c>
      <c r="E138" s="34" t="n">
        <f aca="false">E131</f>
        <v>43594.5334157278</v>
      </c>
      <c r="F138" s="34" t="n">
        <f aca="false">F131</f>
        <v>66828.7211771694</v>
      </c>
      <c r="G138" s="34" t="n">
        <f aca="false">G131</f>
        <v>89958.2477566904</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140317.910525661</v>
      </c>
      <c r="D141" s="36" t="n">
        <f aca="false">D136+D138+D139+D140</f>
        <v>166901.002328771</v>
      </c>
      <c r="E141" s="36" t="n">
        <f aca="false">E136+E138+E139+E140</f>
        <v>210495.535744499</v>
      </c>
      <c r="F141" s="36" t="n">
        <f aca="false">F136+F138+F139+F140</f>
        <v>277324.256921668</v>
      </c>
      <c r="G141" s="36" t="n">
        <f aca="false">G136+G138+G139+G140</f>
        <v>367282.504678359</v>
      </c>
    </row>
    <row r="142" customFormat="false" ht="15" hidden="false" customHeight="true" outlineLevel="0" collapsed="false">
      <c r="A142" s="13" t="s">
        <v>622</v>
      </c>
      <c r="C142" s="34" t="n">
        <f aca="false">MIN(C136-C137,C141)</f>
        <v>131651</v>
      </c>
      <c r="D142" s="34" t="n">
        <f aca="false">MIN(D136-D137,D141)</f>
        <v>140317.910525661</v>
      </c>
      <c r="E142" s="34" t="n">
        <f aca="false">MIN(E136-E137,E141)</f>
        <v>166901.002328771</v>
      </c>
      <c r="F142" s="34" t="n">
        <f aca="false">MIN(F136-F137,F141)</f>
        <v>210495.535744499</v>
      </c>
      <c r="G142" s="34" t="n">
        <f aca="false">MIN(G136-G137,G141)</f>
        <v>277324.256921668</v>
      </c>
    </row>
    <row r="143" customFormat="false" ht="15" hidden="false" customHeight="true" outlineLevel="0" collapsed="false">
      <c r="A143" s="13" t="s">
        <v>623</v>
      </c>
      <c r="C143" s="34" t="n">
        <f aca="false">C142-Inputs!$B$29</f>
        <v>126651</v>
      </c>
      <c r="D143" s="34" t="n">
        <f aca="false">D142-Inputs!$B$29</f>
        <v>135317.910525661</v>
      </c>
      <c r="E143" s="34" t="n">
        <f aca="false">E142-Inputs!$B$29</f>
        <v>161901.002328771</v>
      </c>
      <c r="F143" s="34" t="n">
        <f aca="false">F142-Inputs!$B$29</f>
        <v>205495.535744499</v>
      </c>
      <c r="G143" s="34" t="n">
        <f aca="false">G142-Inputs!$B$29</f>
        <v>272324.256921668</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140317.910525661</v>
      </c>
      <c r="D156" s="34" t="n">
        <f aca="false">D141+SUM($C153:D153)+SUM($C154:D154)-SUM($C155:D155)</f>
        <v>166901.002328771</v>
      </c>
      <c r="E156" s="34" t="n">
        <f aca="false">E141+SUM($C153:E153)+SUM($C154:E154)-SUM($C155:E155)</f>
        <v>210495.535744499</v>
      </c>
      <c r="F156" s="34" t="n">
        <f aca="false">F141+SUM($C153:F153)+SUM($C154:F154)-SUM($C155:F155)</f>
        <v>277324.256921668</v>
      </c>
      <c r="G156" s="34" t="n">
        <f aca="false">G141+SUM($C153:G153)+SUM($C154:G154)-SUM($C155:G155)</f>
        <v>367282.504678359</v>
      </c>
    </row>
    <row r="157" customFormat="false" ht="15" hidden="false" customHeight="true" outlineLevel="0" collapsed="false">
      <c r="A157" s="13" t="s">
        <v>637</v>
      </c>
      <c r="C157" s="34" t="n">
        <f aca="false">MIN(C136-C137+0+C153,C156)</f>
        <v>131651</v>
      </c>
      <c r="D157" s="34" t="n">
        <f aca="false">MIN(D136-D137+SUM($C153:C153)+SUM($C154:C154)-SUM($C155:C155)+D153,D156)</f>
        <v>140317.910525661</v>
      </c>
      <c r="E157" s="34" t="n">
        <f aca="false">MIN(E136-E137+SUM($C153:D153)+SUM($C154:D154)-SUM($C155:D155)+E153,E156)</f>
        <v>166901.002328771</v>
      </c>
      <c r="F157" s="34" t="n">
        <f aca="false">MIN(F136-F137+SUM($C153:E153)+SUM($C154:E154)-SUM($C155:E155)+F153,F156)</f>
        <v>210495.535744499</v>
      </c>
      <c r="G157" s="34" t="n">
        <f aca="false">MIN(G136-G137+SUM($C153:F153)+SUM($C154:F154)-SUM($C155:F155)+G153,G156)</f>
        <v>277324.256921668</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Inputs!$B$19+Inputs!$K$89</f>
        <v>0.14</v>
      </c>
      <c r="G162" s="16" t="n">
        <f aca="false">Inputs!$B$19+Inputs!$K$89</f>
        <v>0.14</v>
      </c>
    </row>
    <row r="163" customFormat="false" ht="15" hidden="false" customHeight="true" outlineLevel="0" collapsed="false">
      <c r="A163" s="13" t="s">
        <v>642</v>
      </c>
      <c r="F163" s="34" t="n">
        <f aca="false">G53*(1-G70)</f>
        <v>64396.1483589342</v>
      </c>
      <c r="G163" s="34" t="n">
        <f aca="false">G109*(1-G126)</f>
        <v>75462.302167493</v>
      </c>
    </row>
    <row r="164" customFormat="false" ht="15" hidden="false" customHeight="true" outlineLevel="0" collapsed="false">
      <c r="A164" s="13" t="s">
        <v>643</v>
      </c>
      <c r="F164" s="53" t="n">
        <f aca="false">Inputs!$K$87</f>
        <v>30</v>
      </c>
      <c r="G164" s="53" t="n">
        <f aca="false">Inputs!$K$87</f>
        <v>30</v>
      </c>
    </row>
    <row r="165" customFormat="false" ht="15" hidden="false" customHeight="true" outlineLevel="0" collapsed="false">
      <c r="A165" s="13" t="s">
        <v>644</v>
      </c>
      <c r="F165" s="34" t="n">
        <f aca="false">F163*F164</f>
        <v>1931884.45076802</v>
      </c>
      <c r="G165" s="34" t="n">
        <f aca="false">G163*G164</f>
        <v>2263869.06502479</v>
      </c>
    </row>
    <row r="166" customFormat="false" ht="15" hidden="false" customHeight="true" outlineLevel="0" collapsed="false">
      <c r="A166" s="13" t="s">
        <v>645</v>
      </c>
      <c r="F166" s="34" t="n">
        <f aca="false">F165*$G$21</f>
        <v>1143830.68145789</v>
      </c>
      <c r="G166" s="34" t="n">
        <f aca="false">G165*$G$21</f>
        <v>1340392.22394967</v>
      </c>
    </row>
    <row r="167" customFormat="false" ht="15" hidden="false" customHeight="true" outlineLevel="0" collapsed="false">
      <c r="A167" s="13" t="s">
        <v>646</v>
      </c>
      <c r="F167" s="34" t="n">
        <f aca="false">SUMPRODUCT(D76:G76,$D$21:$G$21)-F162*SUMPRODUCT(D81:G81,$D$21:$G$21)</f>
        <v>93544.1998899742</v>
      </c>
      <c r="G167" s="34" t="n">
        <f aca="false">SUMPRODUCT(D132:G132,$D$21:$G$21)-G162*SUMPRODUCT(D137:G137,$D$21:$G$21)</f>
        <v>104835.085029726</v>
      </c>
    </row>
    <row r="168" customFormat="false" ht="15" hidden="false" customHeight="true" outlineLevel="0" collapsed="false">
      <c r="A168" s="13" t="s">
        <v>647</v>
      </c>
      <c r="F168" s="34" t="n">
        <f aca="false">F166+F167</f>
        <v>1237374.88134786</v>
      </c>
      <c r="G168" s="34" t="n">
        <f aca="false">G166+G167</f>
        <v>1445227.3089794</v>
      </c>
    </row>
    <row r="169" customFormat="false" ht="15" hidden="false" customHeight="true" outlineLevel="0" collapsed="false">
      <c r="A169" s="13" t="s">
        <v>648</v>
      </c>
      <c r="F169" s="34" t="n">
        <f aca="false">(G76-G74)*Inputs!$K$88*$G$21</f>
        <v>959335.074221144</v>
      </c>
      <c r="G169" s="34" t="n">
        <f aca="false">(G132-G130)*Inputs!$K$88*$G$21</f>
        <v>1122295.86912092</v>
      </c>
    </row>
    <row r="170" customFormat="false" ht="15" hidden="false" customHeight="true" outlineLevel="0" collapsed="false">
      <c r="A170" s="13" t="s">
        <v>649</v>
      </c>
      <c r="F170" s="34" t="n">
        <f aca="false">F167+F169</f>
        <v>1052879.27411112</v>
      </c>
      <c r="G170" s="34" t="n">
        <f aca="false">G167+G169</f>
        <v>1227130.95415064</v>
      </c>
    </row>
    <row r="171" customFormat="false" ht="15" hidden="false" customHeight="true" outlineLevel="0" collapsed="false">
      <c r="A171" s="13" t="s">
        <v>650</v>
      </c>
      <c r="F171" s="34" t="n">
        <f aca="false">F168*Inputs!$B$21+F170*(1-Inputs!$B$21)</f>
        <v>1145127.07772949</v>
      </c>
      <c r="G171" s="34" t="n">
        <f aca="false">G168*Inputs!$B$21+G170*(1-Inputs!$B$21)</f>
        <v>1336179.13156502</v>
      </c>
    </row>
    <row r="172" customFormat="false" ht="15" hidden="false" customHeight="true" outlineLevel="0" collapsed="false">
      <c r="A172" s="13" t="s">
        <v>651</v>
      </c>
      <c r="F172" s="16" t="n">
        <f aca="false">IFERROR(F166/F168,0)</f>
        <v>0.924401083859018</v>
      </c>
      <c r="G172" s="16" t="n">
        <f aca="false">IFERROR(G166/G168,0)</f>
        <v>0.927461179028122</v>
      </c>
    </row>
    <row r="173" customFormat="false" ht="15" hidden="false" customHeight="true" outlineLevel="0" collapsed="false">
      <c r="A173" s="13" t="s">
        <v>652</v>
      </c>
      <c r="F173" s="16" t="n">
        <f aca="false">IFERROR(F169/F170,0)</f>
        <v>0.911153916512463</v>
      </c>
      <c r="G173" s="16" t="n">
        <f aca="false">IFERROR(G169/G170,0)</f>
        <v>0.914568950709676</v>
      </c>
    </row>
    <row r="174" customFormat="false" ht="15" hidden="false" customHeight="true" outlineLevel="0" collapsed="false">
      <c r="A174" s="13" t="s">
        <v>653</v>
      </c>
      <c r="F174" s="34" t="n">
        <f aca="false">C85</f>
        <v>140317.910525661</v>
      </c>
      <c r="G174" s="34" t="n">
        <f aca="false">C141</f>
        <v>140317.910525661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1285444.98825515</v>
      </c>
      <c r="G176" s="35" t="n">
        <f aca="false">G171+G174+G175</f>
        <v>1476497.04209068</v>
      </c>
    </row>
    <row r="177" customFormat="false" ht="15" hidden="false" customHeight="true" outlineLevel="0" collapsed="false">
      <c r="A177" s="13" t="s">
        <v>656</v>
      </c>
      <c r="F177" s="34" t="n">
        <f aca="false">IF(F182="OK",F176,"unresolved")</f>
        <v>1285444.98825515</v>
      </c>
      <c r="G177" s="34" t="n">
        <f aca="false">IF(G182="OK",G176,"unresolved")</f>
        <v>1476497.04209068</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71.8018985316622</v>
      </c>
      <c r="G179" s="25" t="n">
        <f aca="false">IF(G182="OK",G176/G178,"n/a")</f>
        <v>82.4736116808844</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No raise needed</v>
      </c>
      <c r="G183" s="29" t="str">
        <f aca="false">IF(G182&lt;&gt;"OK",G182,IF(G180&gt;0,"Raise needed by 2030",IF(ISNUMBER(G181),"Cash-negative in 2030; runway "&amp;TEXT(G181,"0.0")&amp;" yrs","No raise needed")))</f>
        <v>No raise needed</v>
      </c>
    </row>
    <row r="184" customFormat="false" ht="15" hidden="false" customHeight="true" outlineLevel="0" collapsed="false">
      <c r="A184" s="13" t="s">
        <v>663</v>
      </c>
      <c r="F184" s="25" t="n">
        <f aca="false">IF(NOT(ISNUMBER(F179)),"unresolved",IF(F180=0,F179,(F176+F180/(1+F162)^IF(ISNUMBER(G93),MAX(0,G93-2027),0))/(F178+(F180/(1-Inputs!$B$31))/(F179*(1+F162)^IF(ISNUMBER(G93),MAX(0,G93-2027),0)*(1-0)))))</f>
        <v>71.8018985316622</v>
      </c>
      <c r="G184" s="25" t="n">
        <f aca="false">IF(NOT(ISNUMBER(G179)),"unresolved",IF(G180=0,G179,(G176+G180/(1+G162)^IF(ISNUMBER(G149),MAX(0,G149-2027),0))/(G178+(G180/(1-Inputs!$B$31))/(G179*(1+G162)^IF(ISNUMBER(G149),MAX(0,G149-2027),0)*(1-0)))))</f>
        <v>82.4736116808844</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71.8018985316622</v>
      </c>
      <c r="G185" s="25" t="n">
        <f aca="false">IF(NOT(ISNUMBER(G179)),"unresolved",IF(G180=0,G179,(G176+G180/(1+G162)^IF(ISNUMBER(G149),MAX(0,G149-2027),0))/(G178+(G180/(1-Inputs!$B$31))/(G179*(1+G162)^IF(ISNUMBER(G149),MAX(0,G149-2027),0)*(1-Inputs!$B$30)))))</f>
        <v>82.4736116808844</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71.8018985316622</v>
      </c>
      <c r="G186" s="25" t="n">
        <f aca="false">IF(NOT(ISNUMBER(G179)),"unresolved",IF(G180=0,G179,(G176+G180/(1+G162)^IF(ISNUMBER(G149),MAX(0,G149-2027),0))/(G178+(G180/(1-Inputs!$B$31))/(G179*(1+G162)^IF(ISNUMBER(G149),MAX(0,G149-2027),0)*(1-0.3)))))</f>
        <v>82.4736116808844</v>
      </c>
    </row>
    <row r="187" customFormat="false" ht="15" hidden="false" customHeight="true" outlineLevel="0" collapsed="false">
      <c r="A187" s="13" t="s">
        <v>666</v>
      </c>
      <c r="F187" s="25" t="n">
        <f aca="false">F185</f>
        <v>71.8018985316622</v>
      </c>
      <c r="G187" s="25" t="n">
        <f aca="false">G185</f>
        <v>82.4736116808844</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n">
        <f aca="false">IF(ISNUMBER(F187),F187/(1+Inputs!$B$25)^F188,"unresolved")</f>
        <v>71.8018985316622</v>
      </c>
      <c r="G189" s="12" t="n">
        <f aca="false">IF(ISNUMBER(G187),G187/(1+Inputs!$B$25)^G188,"unresolved")</f>
        <v>82.4736116808844</v>
      </c>
    </row>
    <row r="190" customFormat="false" ht="15" hidden="false" customHeight="true" outlineLevel="0" collapsed="false">
      <c r="A190" s="13" t="s">
        <v>669</v>
      </c>
      <c r="F190" s="25" t="n">
        <f aca="false">IF(F180=0,F189,"unresolved")</f>
        <v>71.8018985316622</v>
      </c>
      <c r="G190" s="25" t="n">
        <f aca="false">IF(G180=0,G189,"unresolved")</f>
        <v>82.4736116808844</v>
      </c>
    </row>
    <row r="191" customFormat="false" ht="15" hidden="false" customHeight="true" outlineLevel="0" collapsed="false">
      <c r="A191" s="13" t="s">
        <v>670</v>
      </c>
      <c r="F191" s="34" t="n">
        <f aca="false">IF(ISNUMBER(F179),F176+F180/(1+F162)^IF(ISNUMBER(G93),MAX(0,G93-2027),0),"unresolved")</f>
        <v>1285444.98825515</v>
      </c>
      <c r="G191" s="34" t="n">
        <f aca="false">IF(ISNUMBER(G179),G176+G180/(1+G162)^IF(ISNUMBER(G149),MAX(0,G149-2027),0),"unresolved")</f>
        <v>1476497.04209068</v>
      </c>
    </row>
    <row r="192" customFormat="false" ht="15" hidden="false" customHeight="true" outlineLevel="0" collapsed="false">
      <c r="A192" s="13" t="s">
        <v>671</v>
      </c>
      <c r="F192" s="28" t="n">
        <f aca="false">IFERROR(F191/D49,"n/a")</f>
        <v>11.8522256791247</v>
      </c>
      <c r="G192" s="28" t="n">
        <f aca="false">IFERROR(G191/D105,"n/a")</f>
        <v>13.3730731513248</v>
      </c>
    </row>
    <row r="193" customFormat="false" ht="15" hidden="false" customHeight="true" outlineLevel="0" collapsed="false">
      <c r="A193" s="13" t="s">
        <v>672</v>
      </c>
      <c r="F193" s="25" t="n">
        <f aca="false">(F168+F174)/F178</f>
        <v>76.9546413527811</v>
      </c>
      <c r="G193" s="25" t="n">
        <f aca="false">(G168+G174)/G178</f>
        <v>88.564783408426</v>
      </c>
    </row>
    <row r="194" customFormat="false" ht="15" hidden="false" customHeight="true" outlineLevel="0" collapsed="false">
      <c r="A194" s="13" t="s">
        <v>673</v>
      </c>
      <c r="F194" s="25" t="n">
        <f aca="false">(F170+F174)/F178</f>
        <v>66.6491557105433</v>
      </c>
      <c r="G194" s="25" t="n">
        <f aca="false">(G170+G174)/G178</f>
        <v>76.3824399533429</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685</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Historicals!F35+(Inputs!$B$5+Inputs!$L$60)</f>
        <v>54228</v>
      </c>
      <c r="D5" s="34" t="n">
        <f aca="false">C5*(1+Inputs!$L$62)</f>
        <v>81342</v>
      </c>
      <c r="E5" s="34" t="n">
        <f aca="false">D5*(1+Inputs!$L$63)</f>
        <v>103711.05</v>
      </c>
      <c r="F5" s="34" t="n">
        <f aca="false">E5*(1+Inputs!$L$64)</f>
        <v>121860.48375</v>
      </c>
      <c r="G5" s="34" t="n">
        <f aca="false">F5*(1+Inputs!$L$65)</f>
        <v>137093.04421875</v>
      </c>
    </row>
    <row r="6" customFormat="false" ht="15" hidden="false" customHeight="true" outlineLevel="0" collapsed="false">
      <c r="A6" s="13" t="s">
        <v>551</v>
      </c>
      <c r="C6" s="16" t="n">
        <f aca="false">IFERROR(C5/B5-1,0)</f>
        <v>10.8272628135224</v>
      </c>
      <c r="D6" s="16" t="n">
        <f aca="false">IFERROR(D5/C5-1,0)</f>
        <v>0.5</v>
      </c>
      <c r="E6" s="16" t="n">
        <f aca="false">IFERROR(E5/D5-1,0)</f>
        <v>0.275</v>
      </c>
      <c r="F6" s="16" t="n">
        <f aca="false">IFERROR(F5/E5-1,0)</f>
        <v>0.175</v>
      </c>
      <c r="G6" s="16" t="n">
        <f aca="false">IFERROR(G5/F5-1,0)</f>
        <v>0.125</v>
      </c>
    </row>
    <row r="7" customFormat="false" ht="15" hidden="false" customHeight="true" outlineLevel="0" collapsed="false">
      <c r="A7" s="13" t="s">
        <v>552</v>
      </c>
      <c r="B7" s="41" t="n">
        <f aca="false">Historicals!D51</f>
        <v>789</v>
      </c>
      <c r="C7" s="34" t="n">
        <f aca="false">Historicals!F51+(Inputs!$B$5+Inputs!$L$60)*Historicals!F51/Historicals!F35</f>
        <v>10728.3934667813</v>
      </c>
      <c r="D7" s="34" t="n">
        <f aca="false">D5*Inputs!$L$61</f>
        <v>16268.4</v>
      </c>
      <c r="E7" s="34" t="n">
        <f aca="false">E5*Inputs!$L$61</f>
        <v>20742.21</v>
      </c>
      <c r="F7" s="34" t="n">
        <f aca="false">F5*Inputs!$L$61</f>
        <v>24372.09675</v>
      </c>
      <c r="G7" s="34" t="n">
        <f aca="false">G5*Inputs!$L$61</f>
        <v>27418.60884375</v>
      </c>
    </row>
    <row r="8" customFormat="false" ht="15" hidden="false" customHeight="true" outlineLevel="0" collapsed="false">
      <c r="A8" s="13" t="s">
        <v>553</v>
      </c>
      <c r="B8" s="34" t="n">
        <f aca="false">B5-B7</f>
        <v>3796</v>
      </c>
      <c r="C8" s="34" t="n">
        <f aca="false">C5-C7</f>
        <v>43499.6065332187</v>
      </c>
      <c r="D8" s="34" t="n">
        <f aca="false">D5-D7</f>
        <v>65073.6</v>
      </c>
      <c r="E8" s="34" t="n">
        <f aca="false">E5-E7</f>
        <v>82968.84</v>
      </c>
      <c r="F8" s="34" t="n">
        <f aca="false">F5-F7</f>
        <v>97488.387</v>
      </c>
      <c r="G8" s="34" t="n">
        <f aca="false">G5-G7</f>
        <v>109674.435375</v>
      </c>
    </row>
    <row r="10" customFormat="false" ht="15" hidden="false" customHeight="true" outlineLevel="0" collapsed="false">
      <c r="A10" s="13" t="s">
        <v>250</v>
      </c>
      <c r="B10" s="41" t="n">
        <f aca="false">Historicals!D36</f>
        <v>7326</v>
      </c>
      <c r="C10" s="34" t="n">
        <f aca="false">Historicals!F36+(Inputs!$B$5+Inputs!$L$60)*Inputs!$L$66</f>
        <v>26018.9</v>
      </c>
      <c r="D10" s="34" t="n">
        <f aca="false">C10*(1+Inputs!$L$67)</f>
        <v>53078.556</v>
      </c>
      <c r="E10" s="34" t="n">
        <f aca="false">D10*(1+Inputs!$L$68)</f>
        <v>76963.9062</v>
      </c>
      <c r="F10" s="34" t="n">
        <f aca="false">E10*(1+Inputs!$L$69)</f>
        <v>100053.07806</v>
      </c>
      <c r="G10" s="34" t="n">
        <f aca="false">F10*(1+Inputs!$L$70)</f>
        <v>120063.693672</v>
      </c>
    </row>
    <row r="11" customFormat="false" ht="15" hidden="false" customHeight="true" outlineLevel="0" collapsed="false">
      <c r="A11" s="13" t="s">
        <v>251</v>
      </c>
      <c r="B11" s="41" t="n">
        <f aca="false">Historicals!D37</f>
        <v>1839</v>
      </c>
      <c r="C11" s="34" t="n">
        <f aca="false">Historicals!F37+(Inputs!$B$5+Inputs!$L$60)*Historicals!G24</f>
        <v>9249.6455214193</v>
      </c>
      <c r="D11" s="34" t="n">
        <f aca="false">D5*Inputs!$L$71</f>
        <v>11387.88</v>
      </c>
      <c r="E11" s="34" t="n">
        <f aca="false">E5*Inputs!$L$72</f>
        <v>13482.4365</v>
      </c>
      <c r="F11" s="34" t="n">
        <f aca="false">F5*Inputs!$L$73</f>
        <v>14623.25805</v>
      </c>
      <c r="G11" s="34" t="n">
        <f aca="false">G5*Inputs!$L$74</f>
        <v>15080.2348640625</v>
      </c>
    </row>
    <row r="12" customFormat="false" ht="15" hidden="false" customHeight="true" outlineLevel="0" collapsed="false">
      <c r="A12" s="13" t="s">
        <v>554</v>
      </c>
      <c r="B12" s="41" t="n">
        <f aca="false">Historicals!D49</f>
        <v>1158</v>
      </c>
      <c r="C12" s="34" t="n">
        <f aca="false">Historicals!F49+(Inputs!$B$5+Inputs!$L$60)*Historicals!G29</f>
        <v>6325.61981826049</v>
      </c>
      <c r="D12" s="34" t="n">
        <f aca="false">D5*Inputs!$L$75</f>
        <v>7320.78</v>
      </c>
      <c r="E12" s="34" t="n">
        <f aca="false">E5*Inputs!$L$76</f>
        <v>8296.884</v>
      </c>
      <c r="F12" s="34" t="n">
        <f aca="false">F5*Inputs!$L$77</f>
        <v>8530.2338625</v>
      </c>
      <c r="G12" s="34" t="n">
        <f aca="false">G5*Inputs!$L$78</f>
        <v>8225.582653125</v>
      </c>
    </row>
    <row r="13" customFormat="false" ht="15" hidden="false" customHeight="true" outlineLevel="0" collapsed="false">
      <c r="A13" s="13" t="s">
        <v>555</v>
      </c>
      <c r="B13" s="41" t="n">
        <f aca="false">Historicals!D39</f>
        <v>568</v>
      </c>
      <c r="C13" s="34" t="n">
        <f aca="false">Historicals!F39+(Inputs!$B$5+Inputs!$L$60)*Historicals!G25</f>
        <v>10178.486369537</v>
      </c>
      <c r="D13" s="34" t="n">
        <f aca="false">D5*Inputs!$L$79</f>
        <v>13828.14</v>
      </c>
      <c r="E13" s="34" t="n">
        <f aca="false">E5*Inputs!$L$80</f>
        <v>16593.768</v>
      </c>
      <c r="F13" s="34" t="n">
        <f aca="false">F5*Inputs!$L$81</f>
        <v>18279.0725625</v>
      </c>
      <c r="G13" s="34" t="n">
        <f aca="false">G5*Inputs!$L$82</f>
        <v>20563.9566328125</v>
      </c>
    </row>
    <row r="14" customFormat="false" ht="15" hidden="false" customHeight="true" outlineLevel="0" collapsed="false">
      <c r="A14" s="13" t="s">
        <v>556</v>
      </c>
      <c r="B14" s="41" t="n">
        <f aca="false">Historicals!D40</f>
        <v>1412</v>
      </c>
      <c r="C14" s="34" t="n">
        <f aca="false">Historicals!F40+(Inputs!$B$5+Inputs!$L$60)*Historicals!G26</f>
        <v>5099.39177845089</v>
      </c>
      <c r="D14" s="34" t="n">
        <f aca="false">D5*Inputs!$L$83</f>
        <v>6507.36</v>
      </c>
      <c r="E14" s="34" t="n">
        <f aca="false">E5*Inputs!$L$84</f>
        <v>7259.7735</v>
      </c>
      <c r="F14" s="34" t="n">
        <f aca="false">F5*Inputs!$L$85</f>
        <v>7311.629025</v>
      </c>
      <c r="G14" s="34" t="n">
        <f aca="false">G5*Inputs!$L$86</f>
        <v>8225.582653125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84801.936</v>
      </c>
      <c r="E16" s="36" t="n">
        <f aca="false">E10+E11+E13+E14+E15</f>
        <v>114299.8842</v>
      </c>
      <c r="F16" s="36" t="n">
        <f aca="false">F10+F11+F13+F14+F15</f>
        <v>140267.0376975</v>
      </c>
      <c r="G16" s="36" t="n">
        <f aca="false">G10+G11+G13+G14+G15</f>
        <v>163933.467822</v>
      </c>
    </row>
    <row r="17" customFormat="false" ht="15" hidden="false" customHeight="true" outlineLevel="0" collapsed="false">
      <c r="A17" s="10" t="s">
        <v>558</v>
      </c>
      <c r="B17" s="35" t="n">
        <f aca="false">B5-B16</f>
        <v>-8060</v>
      </c>
      <c r="C17" s="35" t="n">
        <f aca="false">C5-C16</f>
        <v>1681.57633059282</v>
      </c>
      <c r="D17" s="35" t="n">
        <f aca="false">D5-D16</f>
        <v>-3459.936</v>
      </c>
      <c r="E17" s="35" t="n">
        <f aca="false">E5-E16</f>
        <v>-10588.8342</v>
      </c>
      <c r="F17" s="35" t="n">
        <f aca="false">F5-F16</f>
        <v>-18406.5539475</v>
      </c>
      <c r="G17" s="35" t="n">
        <f aca="false">G5-G16</f>
        <v>-26840.42360325</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-0.0425356642324998</v>
      </c>
      <c r="E18" s="16" t="n">
        <f aca="false">IFERROR(E17/E5,0)</f>
        <v>-0.102099382852647</v>
      </c>
      <c r="F18" s="16" t="n">
        <f aca="false">IFERROR(F17/F5,0)</f>
        <v>-0.151046125709312</v>
      </c>
      <c r="G18" s="16" t="n">
        <f aca="false">IFERROR(G17/G5,0)</f>
        <v>-0.195782534089932</v>
      </c>
    </row>
    <row r="19" customFormat="false" ht="15" hidden="false" customHeight="true" outlineLevel="0" collapsed="false">
      <c r="A19" s="13" t="s">
        <v>560</v>
      </c>
      <c r="B19" s="16" t="n">
        <f aca="false">IFERROR(B10/B5,0)</f>
        <v>1.59781897491821</v>
      </c>
      <c r="C19" s="16" t="n">
        <f aca="false">IFERROR(C10/C5,0)</f>
        <v>0.479805635465073</v>
      </c>
      <c r="D19" s="16" t="n">
        <f aca="false">IFERROR(D10/D5,0)</f>
        <v>0.6525356642325</v>
      </c>
      <c r="E19" s="16" t="n">
        <f aca="false">IFERROR(E10/E5,0)</f>
        <v>0.742099382852647</v>
      </c>
      <c r="F19" s="16" t="n">
        <f aca="false">IFERROR(F10/F5,0)</f>
        <v>0.821046125709312</v>
      </c>
      <c r="G19" s="16" t="n">
        <f aca="false">IFERROR(G10/G5,0)</f>
        <v>0.875782534089932</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1/(1+Inputs!$B$19+Inputs!$L$89)^1</f>
        <v>0.87719298245614</v>
      </c>
      <c r="E21" s="52" t="n">
        <f aca="false">1/(1+Inputs!$B$19+Inputs!$L$89)^2</f>
        <v>0.769467528470298</v>
      </c>
      <c r="F21" s="52" t="n">
        <f aca="false">1/(1+Inputs!$B$19+Inputs!$L$89)^3</f>
        <v>0.674971516202016</v>
      </c>
      <c r="G21" s="52" t="n">
        <f aca="false">1/(1+Inputs!$B$19+Inputs!$L$89)^4</f>
        <v>0.592080277370189</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1626.84</v>
      </c>
      <c r="E25" s="34" t="n">
        <f aca="false">E5*E24</f>
        <v>5185.5525</v>
      </c>
      <c r="F25" s="34" t="n">
        <f aca="false">F5*F24</f>
        <v>12186.048375</v>
      </c>
      <c r="G25" s="34" t="n">
        <f aca="false">G5*G24</f>
        <v>20563.9566328125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13014.72</v>
      </c>
      <c r="E27" s="34" t="n">
        <f aca="false">E25*E26</f>
        <v>41484.42</v>
      </c>
      <c r="F27" s="34" t="n">
        <f aca="false">F25*F26</f>
        <v>97488.387</v>
      </c>
      <c r="G27" s="34" t="n">
        <f aca="false">G25*G26</f>
        <v>164511.6530625</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1952.208</v>
      </c>
      <c r="E29" s="36" t="n">
        <f aca="false">E27*E28</f>
        <v>6222.663</v>
      </c>
      <c r="F29" s="36" t="n">
        <f aca="false">F27*F28</f>
        <v>14623.25805</v>
      </c>
      <c r="G29" s="36" t="n">
        <f aca="false">G27*G28</f>
        <v>24676.747959375</v>
      </c>
    </row>
    <row r="30" customFormat="false" ht="15" hidden="false" customHeight="true" outlineLevel="0" collapsed="false">
      <c r="A30" s="13" t="s">
        <v>570</v>
      </c>
      <c r="C30" s="34" t="n">
        <f aca="false">C25*Inputs!$C$103</f>
        <v>0</v>
      </c>
      <c r="D30" s="34" t="n">
        <f aca="false">D25*Inputs!$C$103</f>
        <v>488.052</v>
      </c>
      <c r="E30" s="34" t="n">
        <f aca="false">E25*Inputs!$C$103</f>
        <v>1555.66575</v>
      </c>
      <c r="F30" s="34" t="n">
        <f aca="false">F25*Inputs!$C$103</f>
        <v>3655.8145125</v>
      </c>
      <c r="G30" s="34" t="n">
        <f aca="false">G25*Inputs!$C$103</f>
        <v>6169.18698984375</v>
      </c>
    </row>
    <row r="31" customFormat="false" ht="15" hidden="false" customHeight="true" outlineLevel="0" collapsed="false">
      <c r="A31" s="13" t="s">
        <v>571</v>
      </c>
      <c r="C31" s="34" t="n">
        <f aca="false">C29-C30</f>
        <v>0</v>
      </c>
      <c r="D31" s="34" t="n">
        <f aca="false">D29-D30</f>
        <v>1464.156</v>
      </c>
      <c r="E31" s="34" t="n">
        <f aca="false">E29-E30</f>
        <v>4666.99725</v>
      </c>
      <c r="F31" s="34" t="n">
        <f aca="false">F29-F30</f>
        <v>10967.4435375</v>
      </c>
      <c r="G31" s="34" t="n">
        <f aca="false">G29-G30</f>
        <v>18507.5609695312</v>
      </c>
    </row>
    <row r="32" customFormat="false" ht="15" hidden="false" customHeight="true" outlineLevel="0" collapsed="false">
      <c r="A32" s="13" t="s">
        <v>572</v>
      </c>
      <c r="C32" s="34" t="n">
        <f aca="false">C29*Inputs!$C$104</f>
        <v>0</v>
      </c>
      <c r="D32" s="34" t="n">
        <f aca="false">D29*Inputs!$C$104</f>
        <v>390.4416</v>
      </c>
      <c r="E32" s="34" t="n">
        <f aca="false">E29*Inputs!$C$104</f>
        <v>1244.5326</v>
      </c>
      <c r="F32" s="34" t="n">
        <f aca="false">F29*Inputs!$C$104</f>
        <v>2924.65161</v>
      </c>
      <c r="G32" s="34" t="n">
        <f aca="false">G29*Inputs!$C$104</f>
        <v>4935.349591875</v>
      </c>
    </row>
    <row r="33" customFormat="false" ht="15" hidden="false" customHeight="true" outlineLevel="0" collapsed="false">
      <c r="A33" s="13" t="s">
        <v>573</v>
      </c>
      <c r="C33" s="34" t="n">
        <f aca="false">C29*Inputs!$C$105</f>
        <v>0</v>
      </c>
      <c r="D33" s="34" t="n">
        <f aca="false">D29*Inputs!$C$105</f>
        <v>292.8312</v>
      </c>
      <c r="E33" s="34" t="n">
        <f aca="false">E29*Inputs!$C$105</f>
        <v>933.39945</v>
      </c>
      <c r="F33" s="34" t="n">
        <f aca="false">F29*Inputs!$C$105</f>
        <v>2193.4887075</v>
      </c>
      <c r="G33" s="34" t="n">
        <f aca="false">G29*Inputs!$C$105</f>
        <v>3701.51219390625</v>
      </c>
    </row>
    <row r="34" customFormat="false" ht="15" hidden="false" customHeight="true" outlineLevel="0" collapsed="false">
      <c r="A34" s="13" t="s">
        <v>574</v>
      </c>
      <c r="C34" s="34" t="n">
        <f aca="false">C29*Inputs!$C$106</f>
        <v>0</v>
      </c>
      <c r="D34" s="34" t="n">
        <f aca="false">D29*Inputs!$C$106</f>
        <v>195.2208</v>
      </c>
      <c r="E34" s="34" t="n">
        <f aca="false">E29*Inputs!$C$106</f>
        <v>622.2663</v>
      </c>
      <c r="F34" s="34" t="n">
        <f aca="false">F29*Inputs!$C$106</f>
        <v>1462.325805</v>
      </c>
      <c r="G34" s="34" t="n">
        <f aca="false">G29*Inputs!$C$106</f>
        <v>2467.6747959375</v>
      </c>
    </row>
    <row r="35" customFormat="false" ht="15" hidden="false" customHeight="true" outlineLevel="0" collapsed="false">
      <c r="A35" s="10" t="s">
        <v>575</v>
      </c>
      <c r="C35" s="35" t="n">
        <f aca="false">C29-C30-C32-C33-C34</f>
        <v>0</v>
      </c>
      <c r="D35" s="35" t="n">
        <f aca="false">D29-D30-D32-D33-D34</f>
        <v>585.6624</v>
      </c>
      <c r="E35" s="35" t="n">
        <f aca="false">E29-E30-E32-E33-E34</f>
        <v>1866.7989</v>
      </c>
      <c r="F35" s="35" t="n">
        <f aca="false">F29-F30-F32-F33-F34</f>
        <v>4386.977415</v>
      </c>
      <c r="G35" s="35" t="n">
        <f aca="false">G29-G30-G32-G33-G34</f>
        <v>7403.0243878125</v>
      </c>
    </row>
    <row r="36" customFormat="false" ht="15" hidden="false" customHeight="true" outlineLevel="0" collapsed="false">
      <c r="A36" s="13" t="s">
        <v>91</v>
      </c>
      <c r="C36" s="54" t="n">
        <f aca="false">IFERROR(C27/Inputs!$B$27,0)</f>
        <v>0</v>
      </c>
      <c r="D36" s="54" t="n">
        <f aca="false">IFERROR(D27/Inputs!$B$27,0)</f>
        <v>0.000325368</v>
      </c>
      <c r="E36" s="54" t="n">
        <f aca="false">IFERROR(E27/Inputs!$B$27,0)</f>
        <v>0.0010371105</v>
      </c>
      <c r="F36" s="54" t="n">
        <f aca="false">IFERROR(F27/Inputs!$B$27,0)</f>
        <v>0.002437209675</v>
      </c>
      <c r="G36" s="54" t="n">
        <f aca="false">IFERROR(G27/Inputs!$B$27,0)</f>
        <v>0.0041127913265625</v>
      </c>
    </row>
    <row r="37" customFormat="false" ht="15" hidden="false" customHeight="true" outlineLevel="0" collapsed="false">
      <c r="A37" s="13" t="s">
        <v>576</v>
      </c>
      <c r="C37" s="34" t="n">
        <f aca="false">CHOOSE(Inputs!$B$35,C31*Inputs!B$55,C29*Inputs!$B$36,0)</f>
        <v>0</v>
      </c>
      <c r="D37" s="34" t="n">
        <f aca="false">CHOOSE(Inputs!$B$35,D31*Inputs!C$55,D29*Inputs!$B$36,0)</f>
        <v>58.56624</v>
      </c>
      <c r="E37" s="34" t="n">
        <f aca="false">CHOOSE(Inputs!$B$35,E31*Inputs!D$55,E29*Inputs!$B$36,0)</f>
        <v>233.3498625</v>
      </c>
      <c r="F37" s="34" t="n">
        <f aca="false">CHOOSE(Inputs!$B$35,F31*Inputs!E$55,F29*Inputs!$B$36,0)</f>
        <v>548.372176875</v>
      </c>
      <c r="G37" s="34" t="n">
        <f aca="false">CHOOSE(Inputs!$B$35,G31*Inputs!F$55,G29*Inputs!$B$36,0)</f>
        <v>925.378048476562</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Inputs!$L$92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53078.556</v>
      </c>
      <c r="E44" s="34" t="n">
        <f aca="false">E10*Inputs!$B$39</f>
        <v>76963.9062</v>
      </c>
      <c r="F44" s="34" t="n">
        <f aca="false">F10*Inputs!$B$39</f>
        <v>100053.07806</v>
      </c>
      <c r="G44" s="34" t="n">
        <f aca="false">G10*Inputs!$B$39</f>
        <v>120063.693672</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81342</v>
      </c>
      <c r="E49" s="34" t="n">
        <f aca="false">E5</f>
        <v>103711.05</v>
      </c>
      <c r="F49" s="34" t="n">
        <f aca="false">F5</f>
        <v>121860.48375</v>
      </c>
      <c r="G49" s="34" t="n">
        <f aca="false">G5</f>
        <v>137093.04421875</v>
      </c>
    </row>
    <row r="50" customFormat="false" ht="15" hidden="false" customHeight="true" outlineLevel="0" collapsed="false">
      <c r="A50" s="13" t="s">
        <v>558</v>
      </c>
      <c r="C50" s="34" t="n">
        <f aca="false">C17</f>
        <v>1681.57633059282</v>
      </c>
      <c r="D50" s="34" t="n">
        <f aca="false">D17</f>
        <v>-3459.936</v>
      </c>
      <c r="E50" s="34" t="n">
        <f aca="false">E17</f>
        <v>-10588.8342</v>
      </c>
      <c r="F50" s="34" t="n">
        <f aca="false">F17</f>
        <v>-18406.5539475</v>
      </c>
      <c r="G50" s="34" t="n">
        <f aca="false">G17</f>
        <v>-26840.42360325</v>
      </c>
    </row>
    <row r="51" customFormat="false" ht="15" hidden="false" customHeight="true" outlineLevel="0" collapsed="false">
      <c r="A51" s="13" t="s">
        <v>586</v>
      </c>
      <c r="C51" s="34" t="n">
        <f aca="false">C5*Inputs!B$55</f>
        <v>1626.84</v>
      </c>
      <c r="D51" s="34" t="n">
        <f aca="false">D5*Inputs!C$55</f>
        <v>3253.68</v>
      </c>
      <c r="E51" s="34" t="n">
        <f aca="false">E5*Inputs!D$55</f>
        <v>5185.5525</v>
      </c>
      <c r="F51" s="34" t="n">
        <f aca="false">F5*Inputs!E$55</f>
        <v>6093.0241875</v>
      </c>
      <c r="G51" s="34" t="n">
        <f aca="false">G5*Inputs!F$55</f>
        <v>6854.6522109375</v>
      </c>
    </row>
    <row r="52" customFormat="false" ht="15" hidden="false" customHeight="true" outlineLevel="0" collapsed="false">
      <c r="A52" s="13" t="s">
        <v>587</v>
      </c>
      <c r="C52" s="33" t="n">
        <v>0</v>
      </c>
      <c r="D52" s="34" t="n">
        <f aca="false">SUMPRODUCT($D51:D51,--((4-COLUMN($D51:D51))&lt;Inputs!$B$32))/Inputs!$B$32</f>
        <v>650.736</v>
      </c>
      <c r="E52" s="34" t="n">
        <f aca="false">SUMPRODUCT($D51:E51,--((5-COLUMN($D51:E51))&lt;Inputs!$B$32))/Inputs!$B$32</f>
        <v>1687.8465</v>
      </c>
      <c r="F52" s="34" t="n">
        <f aca="false">SUMPRODUCT($D51:F51,--((6-COLUMN($D51:F51))&lt;Inputs!$B$32))/Inputs!$B$32</f>
        <v>2906.4513375</v>
      </c>
      <c r="G52" s="34" t="n">
        <f aca="false">SUMPRODUCT($D51:G51,--((7-COLUMN($D51:G51))&lt;Inputs!$B$32))/Inputs!$B$32</f>
        <v>4277.3817796875</v>
      </c>
    </row>
    <row r="53" customFormat="false" ht="15" hidden="false" customHeight="true" outlineLevel="0" collapsed="false">
      <c r="A53" s="10" t="s">
        <v>588</v>
      </c>
      <c r="C53" s="36" t="n">
        <f aca="false">C50-C52</f>
        <v>1681.57633059282</v>
      </c>
      <c r="D53" s="36" t="n">
        <f aca="false">D50-D52</f>
        <v>-4110.672</v>
      </c>
      <c r="E53" s="36" t="n">
        <f aca="false">E50-E52</f>
        <v>-12276.6807</v>
      </c>
      <c r="F53" s="36" t="n">
        <f aca="false">F50-F52</f>
        <v>-21313.005285</v>
      </c>
      <c r="G53" s="36" t="n">
        <f aca="false">G50-G52</f>
        <v>-31117.8053829375</v>
      </c>
    </row>
    <row r="54" customFormat="false" ht="15" hidden="false" customHeight="true" outlineLevel="0" collapsed="false">
      <c r="A54" s="13" t="s">
        <v>589</v>
      </c>
      <c r="C54" s="16" t="n">
        <f aca="false">IFERROR(C53/C49,0)</f>
        <v>0.0310093739505942</v>
      </c>
      <c r="D54" s="16" t="n">
        <f aca="false">IFERROR(D53/D49,0)</f>
        <v>-0.0505356642324998</v>
      </c>
      <c r="E54" s="16" t="n">
        <f aca="false">IFERROR(E53/E49,0)</f>
        <v>-0.118373892656568</v>
      </c>
      <c r="F54" s="16" t="n">
        <f aca="false">IFERROR(F53/F49,0)</f>
        <v>-0.174896772350947</v>
      </c>
      <c r="G54" s="16" t="n">
        <f aca="false">IFERROR(G53/G49,0)</f>
        <v>-0.226983108882497</v>
      </c>
    </row>
    <row r="55" customFormat="false" ht="15" hidden="false" customHeight="true" outlineLevel="0" collapsed="false">
      <c r="A55" s="13" t="s">
        <v>590</v>
      </c>
      <c r="C55" s="34" t="n">
        <f aca="false">Historicals!F43+C80*Inputs!$B$20/2</f>
        <v>2756.6375</v>
      </c>
      <c r="D55" s="34" t="n">
        <f aca="false">MAX(0,D80-D81)*Inputs!$B$20</f>
        <v>3507.94776314153</v>
      </c>
      <c r="E55" s="34" t="n">
        <f aca="false">MAX(0,E80-E81)*Inputs!$B$20</f>
        <v>3610.82555722006</v>
      </c>
      <c r="F55" s="34" t="n">
        <f aca="false">MAX(0,F80-F81)*Inputs!$B$20</f>
        <v>3514.15862865057</v>
      </c>
      <c r="G55" s="34" t="n">
        <f aca="false">MAX(0,G80-G81)*Inputs!$B$20</f>
        <v>3202.77898755433</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-602.724236858476</v>
      </c>
      <c r="E58" s="34" t="n">
        <f aca="false">E53+E55+E56-E57</f>
        <v>-8665.85514277993</v>
      </c>
      <c r="F58" s="34" t="n">
        <f aca="false">F53+F55+F56-F57</f>
        <v>-17798.8466563494</v>
      </c>
      <c r="G58" s="34" t="n">
        <f aca="false">G53+G55+G56-G57</f>
        <v>-27915.0263953832</v>
      </c>
    </row>
    <row r="59" customFormat="false" ht="15" hidden="false" customHeight="true" outlineLevel="0" collapsed="false">
      <c r="A59" s="13" t="s">
        <v>594</v>
      </c>
      <c r="C59" s="34" t="n">
        <f aca="false">C58*Inputs!$B$46</f>
        <v>3195.51395802683</v>
      </c>
      <c r="D59" s="34" t="n">
        <f aca="false">D58*Inputs!$B$46</f>
        <v>-433.961450538103</v>
      </c>
      <c r="E59" s="34" t="n">
        <f aca="false">E58*Inputs!$B$46</f>
        <v>-6239.41570280155</v>
      </c>
      <c r="F59" s="34" t="n">
        <f aca="false">F58*Inputs!$B$46</f>
        <v>-12815.1695925716</v>
      </c>
      <c r="G59" s="34" t="n">
        <f aca="false">G58*Inputs!$B$46</f>
        <v>-20098.8190046759</v>
      </c>
    </row>
    <row r="60" customFormat="false" ht="15" hidden="false" customHeight="true" outlineLevel="0" collapsed="false">
      <c r="A60" s="13" t="s">
        <v>595</v>
      </c>
      <c r="C60" s="34" t="n">
        <f aca="false">Inputs!$B$48</f>
        <v>4200</v>
      </c>
      <c r="D60" s="34" t="n">
        <f aca="false">C62</f>
        <v>4200</v>
      </c>
      <c r="E60" s="34" t="n">
        <f aca="false">D62</f>
        <v>4633.9614505381</v>
      </c>
      <c r="F60" s="34" t="n">
        <f aca="false">E62</f>
        <v>10873.3771533397</v>
      </c>
      <c r="G60" s="34" t="n">
        <f aca="false">F62</f>
        <v>23688.5467459113</v>
      </c>
    </row>
    <row r="61" customFormat="false" ht="15" hidden="false" customHeight="true" outlineLevel="0" collapsed="false">
      <c r="A61" s="13" t="s">
        <v>596</v>
      </c>
      <c r="C61" s="34" t="n">
        <f aca="false">IF(AND(2026=2026,Inputs!$B$49=1),0,MIN(C60,MAX(0,C59)))</f>
        <v>0</v>
      </c>
      <c r="D61" s="34" t="n">
        <f aca="false">IF(AND(2027=2026,Inputs!$B$49=1),0,MIN(D60,MAX(0,D59)))</f>
        <v>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4633.9614505381</v>
      </c>
      <c r="E62" s="34" t="n">
        <f aca="false">E60-E61+MAX(0,-E59)</f>
        <v>10873.3771533397</v>
      </c>
      <c r="F62" s="34" t="n">
        <f aca="false">F60-F61+MAX(0,-F59)</f>
        <v>23688.5467459113</v>
      </c>
      <c r="G62" s="34" t="n">
        <f aca="false">G60-G61+MAX(0,-G59)</f>
        <v>43787.3657505871</v>
      </c>
    </row>
    <row r="63" customFormat="false" ht="15" hidden="false" customHeight="true" outlineLevel="0" collapsed="false">
      <c r="A63" s="13" t="s">
        <v>598</v>
      </c>
      <c r="C63" s="34" t="n">
        <f aca="false">MAX(0,C59-C61)*Inputs!$B$47</f>
        <v>191.73083748161</v>
      </c>
      <c r="D63" s="34" t="n">
        <f aca="false">MAX(0,D59-D61)*Inputs!$B$47</f>
        <v>0</v>
      </c>
      <c r="E63" s="34" t="n">
        <f aca="false">MAX(0,E59-E61)*Inputs!$B$47</f>
        <v>0</v>
      </c>
      <c r="F63" s="34" t="n">
        <f aca="false">MAX(0,F59-F61)*Inputs!$B$47</f>
        <v>0</v>
      </c>
      <c r="G63" s="34" t="n">
        <f aca="false">MAX(0,G59-G61)*Inputs!$B$47</f>
        <v>0</v>
      </c>
    </row>
    <row r="64" customFormat="false" ht="15" hidden="false" customHeight="true" outlineLevel="0" collapsed="false">
      <c r="A64" s="13" t="s">
        <v>599</v>
      </c>
      <c r="C64" s="34" t="n">
        <f aca="false">C58-C63</f>
        <v>4246.48299311121</v>
      </c>
      <c r="D64" s="34" t="n">
        <f aca="false">D58-D63</f>
        <v>-602.724236858476</v>
      </c>
      <c r="E64" s="34" t="n">
        <f aca="false">E58-E63</f>
        <v>-8665.85514277993</v>
      </c>
      <c r="F64" s="34" t="n">
        <f aca="false">F58-F63</f>
        <v>-17798.8466563494</v>
      </c>
      <c r="G64" s="34" t="n">
        <f aca="false">G58-G63</f>
        <v>-27915.0263953832</v>
      </c>
    </row>
    <row r="65" customFormat="false" ht="15" hidden="false" customHeight="true" outlineLevel="0" collapsed="false">
      <c r="A65" s="13" t="s">
        <v>600</v>
      </c>
      <c r="C65" s="34" t="n">
        <f aca="false">Inputs!$B$44</f>
        <v>8200</v>
      </c>
      <c r="D65" s="34" t="n">
        <f aca="false">C67</f>
        <v>4802.81360551103</v>
      </c>
      <c r="E65" s="34" t="n">
        <f aca="false">D67</f>
        <v>5405.53784236951</v>
      </c>
      <c r="F65" s="34" t="n">
        <f aca="false">E67</f>
        <v>14071.3929851494</v>
      </c>
      <c r="G65" s="34" t="n">
        <f aca="false">F67</f>
        <v>31870.2396414989</v>
      </c>
    </row>
    <row r="66" customFormat="false" ht="15" hidden="false" customHeight="true" outlineLevel="0" collapsed="false">
      <c r="A66" s="13" t="s">
        <v>601</v>
      </c>
      <c r="C66" s="34" t="n">
        <f aca="false">MIN(C65,Inputs!$B$45*MAX(0,C64))</f>
        <v>3397.18639448897</v>
      </c>
      <c r="D66" s="34" t="n">
        <f aca="false">MIN(D65,Inputs!$B$45*MAX(0,D64))</f>
        <v>0</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5405.53784236951</v>
      </c>
      <c r="E67" s="34" t="n">
        <f aca="false">E65-E66+MAX(0,-E64)</f>
        <v>14071.3929851494</v>
      </c>
      <c r="F67" s="34" t="n">
        <f aca="false">F65-F66+MAX(0,-F64)</f>
        <v>31870.2396414989</v>
      </c>
      <c r="G67" s="34" t="n">
        <f aca="false">G65-G66+MAX(0,-G64)</f>
        <v>59785.2660368821</v>
      </c>
    </row>
    <row r="68" customFormat="false" ht="15" hidden="false" customHeight="true" outlineLevel="0" collapsed="false">
      <c r="A68" s="13" t="s">
        <v>603</v>
      </c>
      <c r="C68" s="34" t="n">
        <f aca="false">MAX(0,C64-C66)*Inputs!$B$43</f>
        <v>178.352285710671</v>
      </c>
      <c r="D68" s="34" t="n">
        <f aca="false">MAX(0,D64-D66)*Inputs!$B$43</f>
        <v>0</v>
      </c>
      <c r="E68" s="34" t="n">
        <f aca="false">MAX(0,E64-E66)*Inputs!$B$43</f>
        <v>0</v>
      </c>
      <c r="F68" s="34" t="n">
        <f aca="false">MAX(0,F64-F66)*Inputs!$B$43</f>
        <v>0</v>
      </c>
      <c r="G68" s="34" t="n">
        <f aca="false">MAX(0,G64-G66)*Inputs!$B$43</f>
        <v>0</v>
      </c>
    </row>
    <row r="69" customFormat="false" ht="15" hidden="false" customHeight="true" outlineLevel="0" collapsed="false">
      <c r="A69" s="10" t="s">
        <v>604</v>
      </c>
      <c r="C69" s="36" t="n">
        <f aca="false">IF(Inputs!$L$90=0,MAX(0,C53+C55)*Inputs!B$54,IF(Inputs!$L$90=2,MAX(0,C58)*Inputs!$L$91,C63+C68))</f>
        <v>370.083123192281</v>
      </c>
      <c r="D69" s="36" t="n">
        <f aca="false">IF(Inputs!$L$90=0,MAX(0,D53+D55)*Inputs!C$54,IF(Inputs!$L$90=2,MAX(0,D58)*Inputs!$L$91,D63+D68))</f>
        <v>0</v>
      </c>
      <c r="E69" s="36" t="n">
        <f aca="false">IF(Inputs!$L$90=0,MAX(0,E53+E55)*Inputs!D$54,IF(Inputs!$L$90=2,MAX(0,E58)*Inputs!$L$91,E63+E68))</f>
        <v>0</v>
      </c>
      <c r="F69" s="36" t="n">
        <f aca="false">IF(Inputs!$L$90=0,MAX(0,F53+F55)*Inputs!E$54,IF(Inputs!$L$90=2,MAX(0,F58)*Inputs!$L$91,F63+F68))</f>
        <v>0</v>
      </c>
      <c r="G69" s="36" t="n">
        <f aca="false">IF(Inputs!$L$90=0,MAX(0,G53+G55)*Inputs!F$54,IF(Inputs!$L$90=2,MAX(0,G58)*Inputs!$L$91,G63+G68))</f>
        <v>0</v>
      </c>
    </row>
    <row r="70" customFormat="false" ht="15" hidden="false" customHeight="true" outlineLevel="0" collapsed="false">
      <c r="A70" s="13" t="s">
        <v>605</v>
      </c>
      <c r="C70" s="16" t="n">
        <f aca="false">IF(C58&gt;0,MIN(1,C69/C58),0)</f>
        <v>0.0833856</v>
      </c>
      <c r="D70" s="16" t="n">
        <f aca="false">IF(D58&gt;0,MIN(1,D69/D58),0)</f>
        <v>0</v>
      </c>
      <c r="E70" s="16" t="n">
        <f aca="false">IF(E58&gt;0,MIN(1,E69/E58),0)</f>
        <v>0</v>
      </c>
      <c r="F70" s="16" t="n">
        <f aca="false">IF(F58&gt;0,MIN(1,F69/F58),0)</f>
        <v>0</v>
      </c>
      <c r="G70" s="16" t="n">
        <f aca="false">IF(G58&gt;0,MIN(1,G69/G58),0)</f>
        <v>0</v>
      </c>
    </row>
    <row r="71" customFormat="false" ht="15" hidden="false" customHeight="true" outlineLevel="0" collapsed="false">
      <c r="A71" s="13" t="s">
        <v>606</v>
      </c>
      <c r="C71" s="34" t="n">
        <f aca="false">C53+C55-C69</f>
        <v>4068.13070740054</v>
      </c>
      <c r="D71" s="34" t="n">
        <f aca="false">D53+D55-D69</f>
        <v>-602.724236858476</v>
      </c>
      <c r="E71" s="34" t="n">
        <f aca="false">E53+E55-E69</f>
        <v>-8665.85514277993</v>
      </c>
      <c r="F71" s="34" t="n">
        <f aca="false">F53+F55-F69</f>
        <v>-17798.8466563494</v>
      </c>
      <c r="G71" s="34" t="n">
        <f aca="false">G53+G55-G69</f>
        <v>-27915.0263953832</v>
      </c>
    </row>
    <row r="72" customFormat="false" ht="15" hidden="false" customHeight="true" outlineLevel="0" collapsed="false">
      <c r="A72" s="13" t="s">
        <v>607</v>
      </c>
      <c r="C72" s="34" t="n">
        <f aca="false">C12+C20</f>
        <v>8451.61981826049</v>
      </c>
      <c r="D72" s="34" t="n">
        <f aca="false">D12+D20</f>
        <v>7320.78</v>
      </c>
      <c r="E72" s="34" t="n">
        <f aca="false">E12+E20</f>
        <v>8296.884</v>
      </c>
      <c r="F72" s="34" t="n">
        <f aca="false">F12+F20</f>
        <v>8530.2338625</v>
      </c>
      <c r="G72" s="34" t="n">
        <f aca="false">G12+G20</f>
        <v>8225.582653125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10892.910525661</v>
      </c>
      <c r="D75" s="36" t="n">
        <f aca="false">D53+D72+D52+D55-D69-D51+D73+D74</f>
        <v>4115.11176314152</v>
      </c>
      <c r="E75" s="36" t="n">
        <f aca="false">E53+E72+E52+E55-E69-E51+E73+E74</f>
        <v>-3866.67714277993</v>
      </c>
      <c r="F75" s="36" t="n">
        <f aca="false">F53+F72+F52+F55-F69-F51+F73+F74</f>
        <v>-12455.1856438494</v>
      </c>
      <c r="G75" s="36" t="n">
        <f aca="false">G53+G72+G52+G55-G69-G51+G73+G74</f>
        <v>-22266.7141735082</v>
      </c>
    </row>
    <row r="76" customFormat="false" ht="15" hidden="false" customHeight="true" outlineLevel="0" collapsed="false">
      <c r="A76" s="10" t="s">
        <v>611</v>
      </c>
      <c r="C76" s="36" t="n">
        <f aca="false">C53+C52-(C69-C55*C70)-C51+C73+C74</f>
        <v>-85.4829206794611</v>
      </c>
      <c r="D76" s="36" t="n">
        <f aca="false">D53+D52-(D69-D55*D70)-D51+D73+D74</f>
        <v>-6713.616</v>
      </c>
      <c r="E76" s="36" t="n">
        <f aca="false">E53+E52-(E69-E55*E70)-E51+E73+E74</f>
        <v>-15774.3867</v>
      </c>
      <c r="F76" s="36" t="n">
        <f aca="false">F53+F52-(F69-F55*F70)-F51+F73+F74</f>
        <v>-24499.578135</v>
      </c>
      <c r="G76" s="36" t="n">
        <f aca="false">G53+G52-(G69-G55*G70)-G51+G73+G74</f>
        <v>-33695.0758141875</v>
      </c>
    </row>
    <row r="77" customFormat="false" ht="15" hidden="false" customHeight="true" outlineLevel="0" collapsed="false">
      <c r="A77" s="13" t="s">
        <v>612</v>
      </c>
      <c r="C77" s="16" t="n">
        <f aca="false">IFERROR(C76/C49,0)</f>
        <v>-0.00157636130190052</v>
      </c>
      <c r="D77" s="16" t="n">
        <f aca="false">IFERROR(D76/D49,0)</f>
        <v>-0.0825356642324998</v>
      </c>
      <c r="E77" s="16" t="n">
        <f aca="false">IFERROR(E76/E49,0)</f>
        <v>-0.152099382852647</v>
      </c>
      <c r="F77" s="16" t="n">
        <f aca="false">IFERROR(F76/F49,0)</f>
        <v>-0.201046125709312</v>
      </c>
      <c r="G77" s="16" t="n">
        <f aca="false">IFERROR(G76/G49,0)</f>
        <v>-0.245782534089932</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140317.910525661</v>
      </c>
      <c r="E80" s="34" t="n">
        <f aca="false">D85</f>
        <v>144433.022288803</v>
      </c>
      <c r="F80" s="34" t="n">
        <f aca="false">E85</f>
        <v>140566.345146023</v>
      </c>
      <c r="G80" s="34" t="n">
        <f aca="false">F85</f>
        <v>128111.159502173</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8666.91052566103</v>
      </c>
      <c r="D82" s="34" t="n">
        <f aca="false">D75</f>
        <v>4115.11176314152</v>
      </c>
      <c r="E82" s="34" t="n">
        <f aca="false">E75</f>
        <v>-3866.67714277993</v>
      </c>
      <c r="F82" s="34" t="n">
        <f aca="false">F75</f>
        <v>-12455.1856438494</v>
      </c>
      <c r="G82" s="34" t="n">
        <f aca="false">G75</f>
        <v>-22266.7141735082</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140317.910525661</v>
      </c>
      <c r="D85" s="36" t="n">
        <f aca="false">D80+D82+D83+D84</f>
        <v>144433.022288803</v>
      </c>
      <c r="E85" s="36" t="n">
        <f aca="false">E80+E82+E83+E84</f>
        <v>140566.345146023</v>
      </c>
      <c r="F85" s="36" t="n">
        <f aca="false">F80+F82+F83+F84</f>
        <v>128111.159502173</v>
      </c>
      <c r="G85" s="36" t="n">
        <f aca="false">G80+G82+G83+G84</f>
        <v>105844.445328665</v>
      </c>
    </row>
    <row r="86" customFormat="false" ht="15" hidden="false" customHeight="true" outlineLevel="0" collapsed="false">
      <c r="A86" s="13" t="s">
        <v>622</v>
      </c>
      <c r="C86" s="34" t="n">
        <f aca="false">MIN(C80-C81,C85)</f>
        <v>131651</v>
      </c>
      <c r="D86" s="34" t="n">
        <f aca="false">MIN(D80-D81,D85)</f>
        <v>140317.910525661</v>
      </c>
      <c r="E86" s="34" t="n">
        <f aca="false">MIN(E80-E81,E85)</f>
        <v>140566.345146023</v>
      </c>
      <c r="F86" s="34" t="n">
        <f aca="false">MIN(F80-F81,F85)</f>
        <v>128111.159502173</v>
      </c>
      <c r="G86" s="34" t="n">
        <f aca="false">MIN(G80-G81,G85)</f>
        <v>105844.445328665</v>
      </c>
    </row>
    <row r="87" customFormat="false" ht="15" hidden="false" customHeight="true" outlineLevel="0" collapsed="false">
      <c r="A87" s="13" t="s">
        <v>623</v>
      </c>
      <c r="C87" s="34" t="n">
        <f aca="false">C86-Inputs!$B$29</f>
        <v>126651</v>
      </c>
      <c r="D87" s="34" t="n">
        <f aca="false">D86-Inputs!$B$29</f>
        <v>135317.910525661</v>
      </c>
      <c r="E87" s="34" t="n">
        <f aca="false">E86-Inputs!$B$29</f>
        <v>135566.345146023</v>
      </c>
      <c r="F87" s="34" t="n">
        <f aca="false">F86-Inputs!$B$29</f>
        <v>123111.159502173</v>
      </c>
      <c r="G87" s="34" t="n">
        <f aca="false">G86-Inputs!$B$29</f>
        <v>100844.445328665</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140317.910525661</v>
      </c>
      <c r="D100" s="34" t="n">
        <f aca="false">D85+SUM($C97:D97)+SUM($C98:D98)-SUM($C99:D99)</f>
        <v>144433.022288803</v>
      </c>
      <c r="E100" s="34" t="n">
        <f aca="false">E85+SUM($C97:E97)+SUM($C98:E98)-SUM($C99:E99)</f>
        <v>140566.345146023</v>
      </c>
      <c r="F100" s="34" t="n">
        <f aca="false">F85+SUM($C97:F97)+SUM($C98:F98)-SUM($C99:F99)</f>
        <v>128111.159502173</v>
      </c>
      <c r="G100" s="34" t="n">
        <f aca="false">G85+SUM($C97:G97)+SUM($C98:G98)-SUM($C99:G99)</f>
        <v>105844.445328665</v>
      </c>
    </row>
    <row r="101" customFormat="false" ht="15" hidden="false" customHeight="true" outlineLevel="0" collapsed="false">
      <c r="A101" s="13" t="s">
        <v>637</v>
      </c>
      <c r="C101" s="34" t="n">
        <f aca="false">MIN(C80-C81+0+C97,C100)</f>
        <v>131651</v>
      </c>
      <c r="D101" s="34" t="n">
        <f aca="false">MIN(D80-D81+SUM($C97:C97)+SUM($C98:C98)-SUM($C99:C99)+D97,D100)</f>
        <v>140317.910525661</v>
      </c>
      <c r="E101" s="34" t="n">
        <f aca="false">MIN(E80-E81+SUM($C97:D97)+SUM($C98:D98)-SUM($C99:D99)+E97,E100)</f>
        <v>140566.345146023</v>
      </c>
      <c r="F101" s="34" t="n">
        <f aca="false">MIN(F80-F81+SUM($C97:E97)+SUM($C98:E98)-SUM($C99:E99)+F97,F100)</f>
        <v>128111.159502173</v>
      </c>
      <c r="G101" s="34" t="n">
        <f aca="false">MIN(G80-G81+SUM($C97:F97)+SUM($C98:F98)-SUM($C99:F99)+G97,G100)</f>
        <v>105844.445328665</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82806.156</v>
      </c>
      <c r="E105" s="34" t="n">
        <f aca="false">E5+E31</f>
        <v>108378.04725</v>
      </c>
      <c r="F105" s="34" t="n">
        <f aca="false">F5+F31</f>
        <v>132827.9272875</v>
      </c>
      <c r="G105" s="34" t="n">
        <f aca="false">G5+G31</f>
        <v>155600.605188281</v>
      </c>
    </row>
    <row r="106" customFormat="false" ht="15" hidden="false" customHeight="true" outlineLevel="0" collapsed="false">
      <c r="A106" s="13" t="s">
        <v>558</v>
      </c>
      <c r="C106" s="34" t="n">
        <f aca="false">C17+C35</f>
        <v>1681.57633059282</v>
      </c>
      <c r="D106" s="34" t="n">
        <f aca="false">D17+D35</f>
        <v>-2874.2736</v>
      </c>
      <c r="E106" s="34" t="n">
        <f aca="false">E17+E35</f>
        <v>-8722.0353</v>
      </c>
      <c r="F106" s="34" t="n">
        <f aca="false">F17+F35</f>
        <v>-14019.5765325</v>
      </c>
      <c r="G106" s="34" t="n">
        <f aca="false">G17+G35</f>
        <v>-19437.3992154375</v>
      </c>
    </row>
    <row r="107" customFormat="false" ht="15" hidden="false" customHeight="true" outlineLevel="0" collapsed="false">
      <c r="A107" s="13" t="s">
        <v>586</v>
      </c>
      <c r="C107" s="34" t="n">
        <f aca="false">C51+C37</f>
        <v>1626.84</v>
      </c>
      <c r="D107" s="34" t="n">
        <f aca="false">D51+D37</f>
        <v>3312.24624</v>
      </c>
      <c r="E107" s="34" t="n">
        <f aca="false">E51+E37</f>
        <v>5418.9023625</v>
      </c>
      <c r="F107" s="34" t="n">
        <f aca="false">F51+F37</f>
        <v>6641.396364375</v>
      </c>
      <c r="G107" s="34" t="n">
        <f aca="false">G51+G37</f>
        <v>7780.03025941406</v>
      </c>
    </row>
    <row r="108" customFormat="false" ht="15" hidden="false" customHeight="true" outlineLevel="0" collapsed="false">
      <c r="A108" s="13" t="s">
        <v>587</v>
      </c>
      <c r="C108" s="33" t="n">
        <v>0</v>
      </c>
      <c r="D108" s="34" t="n">
        <f aca="false">SUMPRODUCT($D107:D107,--((4-COLUMN($D107:D107))&lt;Inputs!$B$32))/Inputs!$B$32</f>
        <v>662.449248</v>
      </c>
      <c r="E108" s="34" t="n">
        <f aca="false">SUMPRODUCT($D107:E107,--((5-COLUMN($D107:E107))&lt;Inputs!$B$32))/Inputs!$B$32</f>
        <v>1746.2297205</v>
      </c>
      <c r="F108" s="34" t="n">
        <f aca="false">SUMPRODUCT($D107:F107,--((6-COLUMN($D107:F107))&lt;Inputs!$B$32))/Inputs!$B$32</f>
        <v>3074.508993375</v>
      </c>
      <c r="G108" s="34" t="n">
        <f aca="false">SUMPRODUCT($D107:G107,--((7-COLUMN($D107:G107))&lt;Inputs!$B$32))/Inputs!$B$32</f>
        <v>4630.51504525781</v>
      </c>
    </row>
    <row r="109" customFormat="false" ht="15" hidden="false" customHeight="true" outlineLevel="0" collapsed="false">
      <c r="A109" s="10" t="s">
        <v>588</v>
      </c>
      <c r="C109" s="36" t="n">
        <f aca="false">C106-C108</f>
        <v>1681.57633059282</v>
      </c>
      <c r="D109" s="36" t="n">
        <f aca="false">D106-D108</f>
        <v>-3536.722848</v>
      </c>
      <c r="E109" s="36" t="n">
        <f aca="false">E106-E108</f>
        <v>-10468.2650205</v>
      </c>
      <c r="F109" s="36" t="n">
        <f aca="false">F106-F108</f>
        <v>-17094.085525875</v>
      </c>
      <c r="G109" s="36" t="n">
        <f aca="false">G106-G108</f>
        <v>-24067.9142606953</v>
      </c>
    </row>
    <row r="110" customFormat="false" ht="15" hidden="false" customHeight="true" outlineLevel="0" collapsed="false">
      <c r="A110" s="13" t="s">
        <v>589</v>
      </c>
      <c r="C110" s="16" t="n">
        <f aca="false">IFERROR(C109/C105,0)</f>
        <v>0.0310093739505942</v>
      </c>
      <c r="D110" s="16" t="n">
        <f aca="false">IFERROR(D109/D105,0)</f>
        <v>-0.0427108685977405</v>
      </c>
      <c r="E110" s="16" t="n">
        <f aca="false">IFERROR(E109/E105,0)</f>
        <v>-0.0965902716105636</v>
      </c>
      <c r="F110" s="16" t="n">
        <f aca="false">IFERROR(F109/F105,0)</f>
        <v>-0.128693459839027</v>
      </c>
      <c r="G110" s="16" t="n">
        <f aca="false">IFERROR(G109/G105,0)</f>
        <v>-0.154677510614901</v>
      </c>
    </row>
    <row r="111" customFormat="false" ht="15" hidden="false" customHeight="true" outlineLevel="0" collapsed="false">
      <c r="A111" s="13" t="s">
        <v>590</v>
      </c>
      <c r="C111" s="34" t="n">
        <f aca="false">Historicals!F43+C136*Inputs!$B$20/2</f>
        <v>2756.6375</v>
      </c>
      <c r="D111" s="34" t="n">
        <f aca="false">MAX(0,D136-D137)*Inputs!$B$20</f>
        <v>3507.94776314153</v>
      </c>
      <c r="E111" s="34" t="n">
        <f aca="false">MAX(0,E136-E137)*Inputs!$B$20</f>
        <v>3624.00296122006</v>
      </c>
      <c r="F111" s="34" t="n">
        <f aca="false">MAX(0,F136-F137)*Inputs!$B$20</f>
        <v>3568.50169368807</v>
      </c>
      <c r="G111" s="34" t="n">
        <f aca="false">MAX(0,G136-G137)*Inputs!$B$20</f>
        <v>3354.44576017089</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-28.7750848584765</v>
      </c>
      <c r="E114" s="34" t="n">
        <f aca="false">E109+E111+E112-E113</f>
        <v>-6844.26205927993</v>
      </c>
      <c r="F114" s="34" t="n">
        <f aca="false">F109+F111+F112-F113</f>
        <v>-13525.5838321869</v>
      </c>
      <c r="G114" s="34" t="n">
        <f aca="false">G109+G111+G112-G113</f>
        <v>-20713.4685005244</v>
      </c>
    </row>
    <row r="115" customFormat="false" ht="15" hidden="false" customHeight="true" outlineLevel="0" collapsed="false">
      <c r="A115" s="13" t="s">
        <v>594</v>
      </c>
      <c r="C115" s="34" t="n">
        <f aca="false">C114*Inputs!$B$46</f>
        <v>3195.51395802683</v>
      </c>
      <c r="D115" s="34" t="n">
        <f aca="false">D114*Inputs!$B$46</f>
        <v>-20.7180610981031</v>
      </c>
      <c r="E115" s="34" t="n">
        <f aca="false">E114*Inputs!$B$46</f>
        <v>-4927.86868268155</v>
      </c>
      <c r="F115" s="34" t="n">
        <f aca="false">F114*Inputs!$B$46</f>
        <v>-9738.4203591746</v>
      </c>
      <c r="G115" s="34" t="n">
        <f aca="false">G114*Inputs!$B$46</f>
        <v>-14913.6973203776</v>
      </c>
    </row>
    <row r="116" customFormat="false" ht="15" hidden="false" customHeight="true" outlineLevel="0" collapsed="false">
      <c r="A116" s="13" t="s">
        <v>595</v>
      </c>
      <c r="C116" s="34" t="n">
        <f aca="false">Inputs!$B$48</f>
        <v>4200</v>
      </c>
      <c r="D116" s="34" t="n">
        <f aca="false">C118</f>
        <v>4200</v>
      </c>
      <c r="E116" s="34" t="n">
        <f aca="false">D118</f>
        <v>4220.7180610981</v>
      </c>
      <c r="F116" s="34" t="n">
        <f aca="false">E118</f>
        <v>9148.58674377966</v>
      </c>
      <c r="G116" s="34" t="n">
        <f aca="false">F118</f>
        <v>18887.0071029543</v>
      </c>
    </row>
    <row r="117" customFormat="false" ht="15" hidden="false" customHeight="true" outlineLevel="0" collapsed="false">
      <c r="A117" s="13" t="s">
        <v>596</v>
      </c>
      <c r="C117" s="34" t="n">
        <f aca="false">IF(AND(2026=2026,Inputs!$B$49=1),0,MIN(C116,MAX(0,C115)))</f>
        <v>0</v>
      </c>
      <c r="D117" s="34" t="n">
        <f aca="false">IF(AND(2027=2026,Inputs!$B$49=1),0,MIN(D116,MAX(0,D115)))</f>
        <v>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4220.7180610981</v>
      </c>
      <c r="E118" s="34" t="n">
        <f aca="false">E116-E117+MAX(0,-E115)</f>
        <v>9148.58674377966</v>
      </c>
      <c r="F118" s="34" t="n">
        <f aca="false">F116-F117+MAX(0,-F115)</f>
        <v>18887.0071029543</v>
      </c>
      <c r="G118" s="34" t="n">
        <f aca="false">G116-G117+MAX(0,-G115)</f>
        <v>33800.7044233318</v>
      </c>
    </row>
    <row r="119" customFormat="false" ht="15" hidden="false" customHeight="true" outlineLevel="0" collapsed="false">
      <c r="A119" s="13" t="s">
        <v>598</v>
      </c>
      <c r="C119" s="34" t="n">
        <f aca="false">MAX(0,C115-C117)*Inputs!$B$47</f>
        <v>191.73083748161</v>
      </c>
      <c r="D119" s="34" t="n">
        <f aca="false">MAX(0,D115-D117)*Inputs!$B$47</f>
        <v>0</v>
      </c>
      <c r="E119" s="34" t="n">
        <f aca="false">MAX(0,E115-E117)*Inputs!$B$47</f>
        <v>0</v>
      </c>
      <c r="F119" s="34" t="n">
        <f aca="false">MAX(0,F115-F117)*Inputs!$B$47</f>
        <v>0</v>
      </c>
      <c r="G119" s="34" t="n">
        <f aca="false">MAX(0,G115-G117)*Inputs!$B$47</f>
        <v>0</v>
      </c>
    </row>
    <row r="120" customFormat="false" ht="15" hidden="false" customHeight="true" outlineLevel="0" collapsed="false">
      <c r="A120" s="13" t="s">
        <v>599</v>
      </c>
      <c r="C120" s="34" t="n">
        <f aca="false">C114-C119</f>
        <v>4246.48299311121</v>
      </c>
      <c r="D120" s="34" t="n">
        <f aca="false">D114-D119</f>
        <v>-28.7750848584765</v>
      </c>
      <c r="E120" s="34" t="n">
        <f aca="false">E114-E119</f>
        <v>-6844.26205927993</v>
      </c>
      <c r="F120" s="34" t="n">
        <f aca="false">F114-F119</f>
        <v>-13525.5838321869</v>
      </c>
      <c r="G120" s="34" t="n">
        <f aca="false">G114-G119</f>
        <v>-20713.4685005244</v>
      </c>
    </row>
    <row r="121" customFormat="false" ht="15" hidden="false" customHeight="true" outlineLevel="0" collapsed="false">
      <c r="A121" s="13" t="s">
        <v>600</v>
      </c>
      <c r="C121" s="34" t="n">
        <f aca="false">Inputs!$B$44</f>
        <v>8200</v>
      </c>
      <c r="D121" s="34" t="n">
        <f aca="false">C123</f>
        <v>4802.81360551103</v>
      </c>
      <c r="E121" s="34" t="n">
        <f aca="false">D123</f>
        <v>4831.58869036951</v>
      </c>
      <c r="F121" s="34" t="n">
        <f aca="false">E123</f>
        <v>11675.8507496494</v>
      </c>
      <c r="G121" s="34" t="n">
        <f aca="false">F123</f>
        <v>25201.4345818364</v>
      </c>
    </row>
    <row r="122" customFormat="false" ht="15" hidden="false" customHeight="true" outlineLevel="0" collapsed="false">
      <c r="A122" s="13" t="s">
        <v>601</v>
      </c>
      <c r="C122" s="34" t="n">
        <f aca="false">MIN(C121,Inputs!$B$45*MAX(0,C120))</f>
        <v>3397.18639448897</v>
      </c>
      <c r="D122" s="34" t="n">
        <f aca="false">MIN(D121,Inputs!$B$45*MAX(0,D120))</f>
        <v>0</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4831.58869036951</v>
      </c>
      <c r="E123" s="34" t="n">
        <f aca="false">E121-E122+MAX(0,-E120)</f>
        <v>11675.8507496494</v>
      </c>
      <c r="F123" s="34" t="n">
        <f aca="false">F121-F122+MAX(0,-F120)</f>
        <v>25201.4345818364</v>
      </c>
      <c r="G123" s="34" t="n">
        <f aca="false">G121-G122+MAX(0,-G120)</f>
        <v>45914.9030823608</v>
      </c>
    </row>
    <row r="124" customFormat="false" ht="15" hidden="false" customHeight="true" outlineLevel="0" collapsed="false">
      <c r="A124" s="13" t="s">
        <v>603</v>
      </c>
      <c r="C124" s="34" t="n">
        <f aca="false">MAX(0,C120-C122)*Inputs!$B$43</f>
        <v>178.352285710671</v>
      </c>
      <c r="D124" s="34" t="n">
        <f aca="false">MAX(0,D120-D122)*Inputs!$B$43</f>
        <v>0</v>
      </c>
      <c r="E124" s="34" t="n">
        <f aca="false">MAX(0,E120-E122)*Inputs!$B$43</f>
        <v>0</v>
      </c>
      <c r="F124" s="34" t="n">
        <f aca="false">MAX(0,F120-F122)*Inputs!$B$43</f>
        <v>0</v>
      </c>
      <c r="G124" s="34" t="n">
        <f aca="false">MAX(0,G120-G122)*Inputs!$B$43</f>
        <v>0</v>
      </c>
    </row>
    <row r="125" customFormat="false" ht="15" hidden="false" customHeight="true" outlineLevel="0" collapsed="false">
      <c r="A125" s="10" t="s">
        <v>604</v>
      </c>
      <c r="C125" s="36" t="n">
        <f aca="false">IF(Inputs!$L$90=0,MAX(0,C109+C111)*Inputs!B$54,IF(Inputs!$L$90=2,MAX(0,C114)*Inputs!$L$91,C119+C124))</f>
        <v>370.083123192281</v>
      </c>
      <c r="D125" s="36" t="n">
        <f aca="false">IF(Inputs!$L$90=0,MAX(0,D109+D111)*Inputs!C$54,IF(Inputs!$L$90=2,MAX(0,D114)*Inputs!$L$91,D119+D124))</f>
        <v>0</v>
      </c>
      <c r="E125" s="36" t="n">
        <f aca="false">IF(Inputs!$L$90=0,MAX(0,E109+E111)*Inputs!D$54,IF(Inputs!$L$90=2,MAX(0,E114)*Inputs!$L$91,E119+E124))</f>
        <v>0</v>
      </c>
      <c r="F125" s="36" t="n">
        <f aca="false">IF(Inputs!$L$90=0,MAX(0,F109+F111)*Inputs!E$54,IF(Inputs!$L$90=2,MAX(0,F114)*Inputs!$L$91,F119+F124))</f>
        <v>0</v>
      </c>
      <c r="G125" s="36" t="n">
        <f aca="false">IF(Inputs!$L$90=0,MAX(0,G109+G111)*Inputs!F$54,IF(Inputs!$L$90=2,MAX(0,G114)*Inputs!$L$91,G119+G124))</f>
        <v>0</v>
      </c>
    </row>
    <row r="126" customFormat="false" ht="15" hidden="false" customHeight="true" outlineLevel="0" collapsed="false">
      <c r="A126" s="13" t="s">
        <v>605</v>
      </c>
      <c r="C126" s="16" t="n">
        <f aca="false">IF(C114&gt;0,MIN(1,C125/C114),0)</f>
        <v>0.0833856</v>
      </c>
      <c r="D126" s="16" t="n">
        <f aca="false">IF(D114&gt;0,MIN(1,D125/D114),0)</f>
        <v>0</v>
      </c>
      <c r="E126" s="16" t="n">
        <f aca="false">IF(E114&gt;0,MIN(1,E125/E114),0)</f>
        <v>0</v>
      </c>
      <c r="F126" s="16" t="n">
        <f aca="false">IF(F114&gt;0,MIN(1,F125/F114),0)</f>
        <v>0</v>
      </c>
      <c r="G126" s="16" t="n">
        <f aca="false">IF(G114&gt;0,MIN(1,G125/G114),0)</f>
        <v>0</v>
      </c>
    </row>
    <row r="127" customFormat="false" ht="15" hidden="false" customHeight="true" outlineLevel="0" collapsed="false">
      <c r="A127" s="13" t="s">
        <v>606</v>
      </c>
      <c r="C127" s="34" t="n">
        <f aca="false">C109+C111-C125</f>
        <v>4068.13070740054</v>
      </c>
      <c r="D127" s="34" t="n">
        <f aca="false">D109+D111-D125</f>
        <v>-28.7750848584765</v>
      </c>
      <c r="E127" s="34" t="n">
        <f aca="false">E109+E111-E125</f>
        <v>-6844.26205927993</v>
      </c>
      <c r="F127" s="34" t="n">
        <f aca="false">F109+F111-F125</f>
        <v>-13525.5838321869</v>
      </c>
      <c r="G127" s="34" t="n">
        <f aca="false">G109+G111-G125</f>
        <v>-20713.4685005244</v>
      </c>
    </row>
    <row r="128" customFormat="false" ht="15" hidden="false" customHeight="true" outlineLevel="0" collapsed="false">
      <c r="A128" s="13" t="s">
        <v>607</v>
      </c>
      <c r="C128" s="34" t="n">
        <f aca="false">C12+C20</f>
        <v>8451.61981826049</v>
      </c>
      <c r="D128" s="34" t="n">
        <f aca="false">D12+D20</f>
        <v>7320.78</v>
      </c>
      <c r="E128" s="34" t="n">
        <f aca="false">E12+E20</f>
        <v>8296.884</v>
      </c>
      <c r="F128" s="34" t="n">
        <f aca="false">F12+F20</f>
        <v>8530.2338625</v>
      </c>
      <c r="G128" s="34" t="n">
        <f aca="false">G12+G20</f>
        <v>8225.582653125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10892.910525661</v>
      </c>
      <c r="D131" s="36" t="n">
        <f aca="false">D109+D128+D108+D111-D125-D107+D129+D130</f>
        <v>4642.20792314152</v>
      </c>
      <c r="E131" s="36" t="n">
        <f aca="false">E109+E128+E108+E111-E125-E107+E129+E130</f>
        <v>-2220.05070127993</v>
      </c>
      <c r="F131" s="36" t="n">
        <f aca="false">F109+F128+F108+F111-F125-F107+F129+F130</f>
        <v>-8562.23734068695</v>
      </c>
      <c r="G131" s="36" t="n">
        <f aca="false">G109+G128+G108+G111-G125-G107+G129+G130</f>
        <v>-15637.4010615557</v>
      </c>
    </row>
    <row r="132" customFormat="false" ht="15" hidden="false" customHeight="true" outlineLevel="0" collapsed="false">
      <c r="A132" s="10" t="s">
        <v>611</v>
      </c>
      <c r="C132" s="36" t="n">
        <f aca="false">C109+C108-(C125-C111*C126)-C107+C129+C130</f>
        <v>-85.4829206794611</v>
      </c>
      <c r="D132" s="36" t="n">
        <f aca="false">D109+D108-(D125-D111*D126)-D107+D129+D130</f>
        <v>-6186.51984</v>
      </c>
      <c r="E132" s="36" t="n">
        <f aca="false">E109+E108-(E125-E111*E126)-E107+E129+E130</f>
        <v>-14140.9376625</v>
      </c>
      <c r="F132" s="36" t="n">
        <f aca="false">F109+F108-(F125-F111*F126)-F107+F129+F130</f>
        <v>-20660.972896875</v>
      </c>
      <c r="G132" s="36" t="n">
        <f aca="false">G109+G108-(G125-G111*G126)-G107+G129+G130</f>
        <v>-27217.4294748516</v>
      </c>
    </row>
    <row r="133" customFormat="false" ht="15" hidden="false" customHeight="true" outlineLevel="0" collapsed="false">
      <c r="A133" s="13" t="s">
        <v>612</v>
      </c>
      <c r="C133" s="16" t="n">
        <f aca="false">IFERROR(C132/C105,0)</f>
        <v>-0.00157636130190052</v>
      </c>
      <c r="D133" s="16" t="n">
        <f aca="false">IFERROR(D132/D105,0)</f>
        <v>-0.0747108685977405</v>
      </c>
      <c r="E133" s="16" t="n">
        <f aca="false">IFERROR(E132/E105,0)</f>
        <v>-0.130477878327892</v>
      </c>
      <c r="F133" s="16" t="n">
        <f aca="false">IFERROR(F132/F105,0)</f>
        <v>-0.155546904320469</v>
      </c>
      <c r="G133" s="16" t="n">
        <f aca="false">IFERROR(G132/G105,0)</f>
        <v>-0.174918532237826</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140317.910525661</v>
      </c>
      <c r="E136" s="34" t="n">
        <f aca="false">D141</f>
        <v>144960.118448803</v>
      </c>
      <c r="F136" s="34" t="n">
        <f aca="false">E141</f>
        <v>142740.067747523</v>
      </c>
      <c r="G136" s="34" t="n">
        <f aca="false">F141</f>
        <v>134177.830406836</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8666.91052566103</v>
      </c>
      <c r="D138" s="34" t="n">
        <f aca="false">D131</f>
        <v>4642.20792314152</v>
      </c>
      <c r="E138" s="34" t="n">
        <f aca="false">E131</f>
        <v>-2220.05070127993</v>
      </c>
      <c r="F138" s="34" t="n">
        <f aca="false">F131</f>
        <v>-8562.23734068695</v>
      </c>
      <c r="G138" s="34" t="n">
        <f aca="false">G131</f>
        <v>-15637.4010615557</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140317.910525661</v>
      </c>
      <c r="D141" s="36" t="n">
        <f aca="false">D136+D138+D139+D140</f>
        <v>144960.118448803</v>
      </c>
      <c r="E141" s="36" t="n">
        <f aca="false">E136+E138+E139+E140</f>
        <v>142740.067747523</v>
      </c>
      <c r="F141" s="36" t="n">
        <f aca="false">F136+F138+F139+F140</f>
        <v>134177.830406836</v>
      </c>
      <c r="G141" s="36" t="n">
        <f aca="false">G136+G138+G139+G140</f>
        <v>118540.42934528</v>
      </c>
    </row>
    <row r="142" customFormat="false" ht="15" hidden="false" customHeight="true" outlineLevel="0" collapsed="false">
      <c r="A142" s="13" t="s">
        <v>622</v>
      </c>
      <c r="C142" s="34" t="n">
        <f aca="false">MIN(C136-C137,C141)</f>
        <v>131651</v>
      </c>
      <c r="D142" s="34" t="n">
        <f aca="false">MIN(D136-D137,D141)</f>
        <v>140317.910525661</v>
      </c>
      <c r="E142" s="34" t="n">
        <f aca="false">MIN(E136-E137,E141)</f>
        <v>142740.067747523</v>
      </c>
      <c r="F142" s="34" t="n">
        <f aca="false">MIN(F136-F137,F141)</f>
        <v>134177.830406836</v>
      </c>
      <c r="G142" s="34" t="n">
        <f aca="false">MIN(G136-G137,G141)</f>
        <v>118540.42934528</v>
      </c>
    </row>
    <row r="143" customFormat="false" ht="15" hidden="false" customHeight="true" outlineLevel="0" collapsed="false">
      <c r="A143" s="13" t="s">
        <v>623</v>
      </c>
      <c r="C143" s="34" t="n">
        <f aca="false">C142-Inputs!$B$29</f>
        <v>126651</v>
      </c>
      <c r="D143" s="34" t="n">
        <f aca="false">D142-Inputs!$B$29</f>
        <v>135317.910525661</v>
      </c>
      <c r="E143" s="34" t="n">
        <f aca="false">E142-Inputs!$B$29</f>
        <v>137740.067747523</v>
      </c>
      <c r="F143" s="34" t="n">
        <f aca="false">F142-Inputs!$B$29</f>
        <v>129177.830406836</v>
      </c>
      <c r="G143" s="34" t="n">
        <f aca="false">G142-Inputs!$B$29</f>
        <v>113540.42934528</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140317.910525661</v>
      </c>
      <c r="D156" s="34" t="n">
        <f aca="false">D141+SUM($C153:D153)+SUM($C154:D154)-SUM($C155:D155)</f>
        <v>144960.118448803</v>
      </c>
      <c r="E156" s="34" t="n">
        <f aca="false">E141+SUM($C153:E153)+SUM($C154:E154)-SUM($C155:E155)</f>
        <v>142740.067747523</v>
      </c>
      <c r="F156" s="34" t="n">
        <f aca="false">F141+SUM($C153:F153)+SUM($C154:F154)-SUM($C155:F155)</f>
        <v>134177.830406836</v>
      </c>
      <c r="G156" s="34" t="n">
        <f aca="false">G141+SUM($C153:G153)+SUM($C154:G154)-SUM($C155:G155)</f>
        <v>118540.42934528</v>
      </c>
    </row>
    <row r="157" customFormat="false" ht="15" hidden="false" customHeight="true" outlineLevel="0" collapsed="false">
      <c r="A157" s="13" t="s">
        <v>637</v>
      </c>
      <c r="C157" s="34" t="n">
        <f aca="false">MIN(C136-C137+0+C153,C156)</f>
        <v>131651</v>
      </c>
      <c r="D157" s="34" t="n">
        <f aca="false">MIN(D136-D137+SUM($C153:C153)+SUM($C154:C154)-SUM($C155:C155)+D153,D156)</f>
        <v>140317.910525661</v>
      </c>
      <c r="E157" s="34" t="n">
        <f aca="false">MIN(E136-E137+SUM($C153:D153)+SUM($C154:D154)-SUM($C155:D155)+E153,E156)</f>
        <v>142740.067747523</v>
      </c>
      <c r="F157" s="34" t="n">
        <f aca="false">MIN(F136-F137+SUM($C153:E153)+SUM($C154:E154)-SUM($C155:E155)+F153,F156)</f>
        <v>134177.830406836</v>
      </c>
      <c r="G157" s="34" t="n">
        <f aca="false">MIN(G136-G137+SUM($C153:F153)+SUM($C154:F154)-SUM($C155:F155)+G153,G156)</f>
        <v>118540.42934528</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Inputs!$B$19+Inputs!$L$89</f>
        <v>0.14</v>
      </c>
      <c r="G162" s="16" t="n">
        <f aca="false">Inputs!$B$19+Inputs!$L$89</f>
        <v>0.14</v>
      </c>
    </row>
    <row r="163" customFormat="false" ht="15" hidden="false" customHeight="true" outlineLevel="0" collapsed="false">
      <c r="A163" s="13" t="s">
        <v>642</v>
      </c>
      <c r="F163" s="34" t="n">
        <f aca="false">G53*(1-G70)</f>
        <v>-31117.8053829375</v>
      </c>
      <c r="G163" s="34" t="n">
        <f aca="false">G109*(1-G126)</f>
        <v>-24067.9142606953</v>
      </c>
    </row>
    <row r="164" customFormat="false" ht="15" hidden="false" customHeight="true" outlineLevel="0" collapsed="false">
      <c r="A164" s="13" t="s">
        <v>643</v>
      </c>
      <c r="F164" s="53" t="n">
        <f aca="false">Inputs!$L$87</f>
        <v>22.5</v>
      </c>
      <c r="G164" s="53" t="n">
        <f aca="false">Inputs!$L$87</f>
        <v>22.5</v>
      </c>
    </row>
    <row r="165" customFormat="false" ht="15" hidden="false" customHeight="true" outlineLevel="0" collapsed="false">
      <c r="A165" s="13" t="s">
        <v>644</v>
      </c>
      <c r="F165" s="34" t="n">
        <f aca="false">F163*F164</f>
        <v>-700150.621116094</v>
      </c>
      <c r="G165" s="34" t="n">
        <f aca="false">G163*G164</f>
        <v>-541528.070865645</v>
      </c>
    </row>
    <row r="166" customFormat="false" ht="15" hidden="false" customHeight="true" outlineLevel="0" collapsed="false">
      <c r="A166" s="13" t="s">
        <v>645</v>
      </c>
      <c r="F166" s="34" t="n">
        <f aca="false">F165*$G$21</f>
        <v>-414545.373951327</v>
      </c>
      <c r="G166" s="34" t="n">
        <f aca="false">G165*$G$21</f>
        <v>-320628.090401875</v>
      </c>
    </row>
    <row r="167" customFormat="false" ht="15" hidden="false" customHeight="true" outlineLevel="0" collapsed="false">
      <c r="A167" s="13" t="s">
        <v>646</v>
      </c>
      <c r="F167" s="34" t="n">
        <f aca="false">SUMPRODUCT(D76:G76,$D$21:$G$21)-F162*SUMPRODUCT(D81:G81,$D$21:$G$21)</f>
        <v>-54513.7224234534</v>
      </c>
      <c r="G167" s="34" t="n">
        <f aca="false">SUMPRODUCT(D132:G132,$D$21:$G$21)-G162*SUMPRODUCT(D137:G137,$D$21:$G$21)</f>
        <v>-46368.2355380763</v>
      </c>
    </row>
    <row r="168" customFormat="false" ht="15" hidden="false" customHeight="true" outlineLevel="0" collapsed="false">
      <c r="A168" s="13" t="s">
        <v>647</v>
      </c>
      <c r="F168" s="34" t="n">
        <f aca="false">F166+F167</f>
        <v>-469059.096374781</v>
      </c>
      <c r="G168" s="34" t="n">
        <f aca="false">G166+G167</f>
        <v>-366996.325939951</v>
      </c>
    </row>
    <row r="169" customFormat="false" ht="15" hidden="false" customHeight="true" outlineLevel="0" collapsed="false">
      <c r="A169" s="13" t="s">
        <v>648</v>
      </c>
      <c r="F169" s="34" t="n">
        <f aca="false">(G76-G74)*Inputs!$L$88*$G$21</f>
        <v>-418953.986515548</v>
      </c>
      <c r="G169" s="34" t="n">
        <f aca="false">(G132-G130)*Inputs!$L$88*$G$21</f>
        <v>-338412.967048247</v>
      </c>
    </row>
    <row r="170" customFormat="false" ht="15" hidden="false" customHeight="true" outlineLevel="0" collapsed="false">
      <c r="A170" s="13" t="s">
        <v>649</v>
      </c>
      <c r="F170" s="34" t="n">
        <f aca="false">F167+F169</f>
        <v>-473467.708939001</v>
      </c>
      <c r="G170" s="34" t="n">
        <f aca="false">G167+G169</f>
        <v>-384781.202586324</v>
      </c>
    </row>
    <row r="171" customFormat="false" ht="15" hidden="false" customHeight="true" outlineLevel="0" collapsed="false">
      <c r="A171" s="13" t="s">
        <v>650</v>
      </c>
      <c r="F171" s="34" t="n">
        <f aca="false">F168*Inputs!$B$21+F170*(1-Inputs!$B$21)</f>
        <v>-471263.402656891</v>
      </c>
      <c r="G171" s="34" t="n">
        <f aca="false">G168*Inputs!$B$21+G170*(1-Inputs!$B$21)</f>
        <v>-375888.764263137</v>
      </c>
    </row>
    <row r="172" customFormat="false" ht="15" hidden="false" customHeight="true" outlineLevel="0" collapsed="false">
      <c r="A172" s="13" t="s">
        <v>651</v>
      </c>
      <c r="F172" s="16" t="n">
        <f aca="false">IFERROR(F166/F168,0)</f>
        <v>0.883780694490793</v>
      </c>
      <c r="G172" s="16" t="n">
        <f aca="false">IFERROR(G166/G168,0)</f>
        <v>0.873654769106154</v>
      </c>
    </row>
    <row r="173" customFormat="false" ht="15" hidden="false" customHeight="true" outlineLevel="0" collapsed="false">
      <c r="A173" s="13" t="s">
        <v>652</v>
      </c>
      <c r="F173" s="16" t="n">
        <f aca="false">IFERROR(F169/F170,0)</f>
        <v>0.884862850424132</v>
      </c>
      <c r="G173" s="16" t="n">
        <f aca="false">IFERROR(G169/G170,0)</f>
        <v>0.879494540724936</v>
      </c>
    </row>
    <row r="174" customFormat="false" ht="15" hidden="false" customHeight="true" outlineLevel="0" collapsed="false">
      <c r="A174" s="13" t="s">
        <v>653</v>
      </c>
      <c r="F174" s="34" t="n">
        <f aca="false">C85</f>
        <v>140317.910525661</v>
      </c>
      <c r="G174" s="34" t="n">
        <f aca="false">C141</f>
        <v>140317.910525661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-330945.49213123</v>
      </c>
      <c r="G176" s="35" t="n">
        <f aca="false">G171+G174+G175</f>
        <v>-235570.853737476</v>
      </c>
    </row>
    <row r="177" customFormat="false" ht="15" hidden="false" customHeight="true" outlineLevel="0" collapsed="false">
      <c r="A177" s="13" t="s">
        <v>656</v>
      </c>
      <c r="F177" s="34" t="str">
        <f aca="false">IF(F182="OK",F176,"unresolved")</f>
        <v>unresolved</v>
      </c>
      <c r="G177" s="34" t="str">
        <f aca="false">IF(G182="OK",G176,"unresolved")</f>
        <v>unresolved</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str">
        <f aca="false">IF(F182="OK",F176/F178,"n/a")</f>
        <v>n/a</v>
      </c>
      <c r="G179" s="25" t="str">
        <f aca="false">IF(G182="OK",G176/G178,"n/a")</f>
        <v>n/a</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n">
        <f aca="false">IF(G75&lt;0,MAX(0,G85)/-G75,"cash-positive")</f>
        <v>4.75348291193289</v>
      </c>
      <c r="G181" s="57" t="n">
        <f aca="false">IF(G131&lt;0,MAX(0,G141)/-G131,"cash-positive")</f>
        <v>7.58057102191424</v>
      </c>
    </row>
    <row r="182" customFormat="false" ht="15" hidden="false" customHeight="true" outlineLevel="0" collapsed="false">
      <c r="A182" s="13" t="s">
        <v>661</v>
      </c>
      <c r="F182" s="55" t="str">
        <f aca="false">IF(OR(F163&lt;=0,G76-G74&lt;=0),"Not meaningful: 2030 earnings or cash flow negative",IF(F176&lt;=0,"Not meaningful: equity value at or below zero","OK"))</f>
        <v>Not meaningful: 2030 earnings or cash flow negative</v>
      </c>
      <c r="G182" s="55" t="str">
        <f aca="false">IF(OR(G163&lt;=0,G132-G130&lt;=0),"Not meaningful: 2030 earnings or cash flow negative",IF(G176&lt;=0,"Not meaningful: equity value at or below zero","OK"))</f>
        <v>Not meaningful: 2030 earnings or cash flow negative</v>
      </c>
    </row>
    <row r="183" customFormat="false" ht="15" hidden="false" customHeight="true" outlineLevel="0" collapsed="false">
      <c r="A183" s="10" t="s">
        <v>662</v>
      </c>
      <c r="F183" s="29" t="str">
        <f aca="false">IF(F182&lt;&gt;"OK",F182,IF(F180&gt;0,"Raise needed by 2030",IF(ISNUMBER(F181),"Cash-negative in 2030; runway "&amp;TEXT(F181,"0.0")&amp;" yrs","No raise needed")))</f>
        <v>Not meaningful: 2030 earnings or cash flow negative</v>
      </c>
      <c r="G183" s="29" t="str">
        <f aca="false">IF(G182&lt;&gt;"OK",G182,IF(G180&gt;0,"Raise needed by 2030",IF(ISNUMBER(G181),"Cash-negative in 2030; runway "&amp;TEXT(G181,"0.0")&amp;" yrs","No raise needed")))</f>
        <v>Not meaningful: 2030 earnings or cash flow negative</v>
      </c>
    </row>
    <row r="184" customFormat="false" ht="15" hidden="false" customHeight="true" outlineLevel="0" collapsed="false">
      <c r="A184" s="13" t="s">
        <v>663</v>
      </c>
      <c r="F184" s="25" t="str">
        <f aca="false">IF(NOT(ISNUMBER(F179)),"unresolved",IF(F180=0,F179,(F176+F180/(1+F162)^IF(ISNUMBER(G93),MAX(0,G93-2027),0))/(F178+(F180/(1-Inputs!$B$31))/(F179*(1+F162)^IF(ISNUMBER(G93),MAX(0,G93-2027),0)*(1-0)))))</f>
        <v>unresolved</v>
      </c>
      <c r="G184" s="25" t="str">
        <f aca="false">IF(NOT(ISNUMBER(G179)),"unresolved",IF(G180=0,G179,(G176+G180/(1+G162)^IF(ISNUMBER(G149),MAX(0,G149-2027),0))/(G178+(G180/(1-Inputs!$B$31))/(G179*(1+G162)^IF(ISNUMBER(G149),MAX(0,G149-2027),0)*(1-0)))))</f>
        <v>unresolved</v>
      </c>
    </row>
    <row r="185" customFormat="false" ht="15" hidden="false" customHeight="true" outlineLevel="0" collapsed="false">
      <c r="A185" s="13" t="s">
        <v>664</v>
      </c>
      <c r="F185" s="25" t="str">
        <f aca="false">IF(NOT(ISNUMBER(F179)),"unresolved",IF(F180=0,F179,(F176+F180/(1+F162)^IF(ISNUMBER(G93),MAX(0,G93-2027),0))/(F178+(F180/(1-Inputs!$B$31))/(F179*(1+F162)^IF(ISNUMBER(G93),MAX(0,G93-2027),0)*(1-Inputs!$B$30)))))</f>
        <v>unresolved</v>
      </c>
      <c r="G185" s="25" t="str">
        <f aca="false">IF(NOT(ISNUMBER(G179)),"unresolved",IF(G180=0,G179,(G176+G180/(1+G162)^IF(ISNUMBER(G149),MAX(0,G149-2027),0))/(G178+(G180/(1-Inputs!$B$31))/(G179*(1+G162)^IF(ISNUMBER(G149),MAX(0,G149-2027),0)*(1-Inputs!$B$30)))))</f>
        <v>unresolved</v>
      </c>
    </row>
    <row r="186" customFormat="false" ht="15" hidden="false" customHeight="true" outlineLevel="0" collapsed="false">
      <c r="A186" s="13" t="s">
        <v>665</v>
      </c>
      <c r="F186" s="25" t="str">
        <f aca="false">IF(NOT(ISNUMBER(F179)),"unresolved",IF(F180=0,F179,(F176+F180/(1+F162)^IF(ISNUMBER(G93),MAX(0,G93-2027),0))/(F178+(F180/(1-Inputs!$B$31))/(F179*(1+F162)^IF(ISNUMBER(G93),MAX(0,G93-2027),0)*(1-0.3)))))</f>
        <v>unresolved</v>
      </c>
      <c r="G186" s="25" t="str">
        <f aca="false">IF(NOT(ISNUMBER(G179)),"unresolved",IF(G180=0,G179,(G176+G180/(1+G162)^IF(ISNUMBER(G149),MAX(0,G149-2027),0))/(G178+(G180/(1-Inputs!$B$31))/(G179*(1+G162)^IF(ISNUMBER(G149),MAX(0,G149-2027),0)*(1-0.3)))))</f>
        <v>unresolved</v>
      </c>
    </row>
    <row r="187" customFormat="false" ht="15" hidden="false" customHeight="true" outlineLevel="0" collapsed="false">
      <c r="A187" s="13" t="s">
        <v>666</v>
      </c>
      <c r="F187" s="25" t="str">
        <f aca="false">F185</f>
        <v>unresolved</v>
      </c>
      <c r="G187" s="25" t="str">
        <f aca="false">G185</f>
        <v>unresolved</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str">
        <f aca="false">IF(ISNUMBER(F187),F187/(1+Inputs!$B$25)^F188,"unresolved")</f>
        <v>unresolved</v>
      </c>
      <c r="G189" s="12" t="str">
        <f aca="false">IF(ISNUMBER(G187),G187/(1+Inputs!$B$25)^G188,"unresolved")</f>
        <v>unresolved</v>
      </c>
    </row>
    <row r="190" customFormat="false" ht="15" hidden="false" customHeight="true" outlineLevel="0" collapsed="false">
      <c r="A190" s="13" t="s">
        <v>669</v>
      </c>
      <c r="F190" s="25" t="str">
        <f aca="false">IF(F180=0,F189,"unresolved")</f>
        <v>unresolved</v>
      </c>
      <c r="G190" s="25" t="str">
        <f aca="false">IF(G180=0,G189,"unresolved")</f>
        <v>unresolved</v>
      </c>
    </row>
    <row r="191" customFormat="false" ht="15" hidden="false" customHeight="true" outlineLevel="0" collapsed="false">
      <c r="A191" s="13" t="s">
        <v>670</v>
      </c>
      <c r="F191" s="34" t="str">
        <f aca="false">IF(ISNUMBER(F179),F176+F180/(1+F162)^IF(ISNUMBER(G93),MAX(0,G93-2027),0),"unresolved")</f>
        <v>unresolved</v>
      </c>
      <c r="G191" s="34" t="str">
        <f aca="false">IF(ISNUMBER(G179),G176+G180/(1+G162)^IF(ISNUMBER(G149),MAX(0,G149-2027),0),"unresolved")</f>
        <v>unresolved</v>
      </c>
    </row>
    <row r="192" customFormat="false" ht="15" hidden="false" customHeight="true" outlineLevel="0" collapsed="false">
      <c r="A192" s="13" t="s">
        <v>671</v>
      </c>
      <c r="F192" s="28" t="str">
        <f aca="false">IFERROR(F191/D49,"n/a")</f>
        <v>n/a</v>
      </c>
      <c r="G192" s="28" t="str">
        <f aca="false">IFERROR(G191/D105,"n/a")</f>
        <v>n/a</v>
      </c>
    </row>
    <row r="193" customFormat="false" ht="15" hidden="false" customHeight="true" outlineLevel="0" collapsed="false">
      <c r="A193" s="13" t="s">
        <v>672</v>
      </c>
      <c r="F193" s="25" t="n">
        <f aca="false">(F168+F174)/F178</f>
        <v>-18.3627004540715</v>
      </c>
      <c r="G193" s="25" t="n">
        <f aca="false">(G168+G174)/G178</f>
        <v>-12.6617169397405</v>
      </c>
    </row>
    <row r="194" customFormat="false" ht="15" hidden="false" customHeight="true" outlineLevel="0" collapsed="false">
      <c r="A194" s="13" t="s">
        <v>673</v>
      </c>
      <c r="F194" s="25" t="n">
        <f aca="false">(F170+F174)/F178</f>
        <v>-18.6089550623152</v>
      </c>
      <c r="G194" s="25" t="n">
        <f aca="false">(G170+G174)/G178</f>
        <v>-13.6551378329165</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686</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Historicals!F35+(Inputs!$B$5+Inputs!$M$60)</f>
        <v>54228</v>
      </c>
      <c r="D5" s="34" t="n">
        <f aca="false">C5*(1+Inputs!$M$62)</f>
        <v>108456</v>
      </c>
      <c r="E5" s="34" t="n">
        <f aca="false">D5*(1+Inputs!$M$63)</f>
        <v>168106.8</v>
      </c>
      <c r="F5" s="34" t="n">
        <f aca="false">E5*(1+Inputs!$M$64)</f>
        <v>226944.18</v>
      </c>
      <c r="G5" s="34" t="n">
        <f aca="false">F5*(1+Inputs!$M$65)</f>
        <v>283680.225</v>
      </c>
    </row>
    <row r="6" customFormat="false" ht="15" hidden="false" customHeight="true" outlineLevel="0" collapsed="false">
      <c r="A6" s="13" t="s">
        <v>551</v>
      </c>
      <c r="C6" s="16" t="n">
        <f aca="false">IFERROR(C5/B5-1,0)</f>
        <v>10.8272628135224</v>
      </c>
      <c r="D6" s="16" t="n">
        <f aca="false">IFERROR(D5/C5-1,0)</f>
        <v>1</v>
      </c>
      <c r="E6" s="16" t="n">
        <f aca="false">IFERROR(E5/D5-1,0)</f>
        <v>0.55</v>
      </c>
      <c r="F6" s="16" t="n">
        <f aca="false">IFERROR(F5/E5-1,0)</f>
        <v>0.35</v>
      </c>
      <c r="G6" s="16" t="n">
        <f aca="false">IFERROR(G5/F5-1,0)</f>
        <v>0.25</v>
      </c>
    </row>
    <row r="7" customFormat="false" ht="15" hidden="false" customHeight="true" outlineLevel="0" collapsed="false">
      <c r="A7" s="13" t="s">
        <v>552</v>
      </c>
      <c r="B7" s="41" t="n">
        <f aca="false">Historicals!D51</f>
        <v>789</v>
      </c>
      <c r="C7" s="34" t="n">
        <f aca="false">Historicals!F51+(Inputs!$B$5+Inputs!$M$60)*Historicals!F51/Historicals!F35</f>
        <v>10728.3934667813</v>
      </c>
      <c r="D7" s="34" t="n">
        <f aca="false">D5*Inputs!$M$61</f>
        <v>21691.2</v>
      </c>
      <c r="E7" s="34" t="n">
        <f aca="false">E5*Inputs!$M$61</f>
        <v>33621.36</v>
      </c>
      <c r="F7" s="34" t="n">
        <f aca="false">F5*Inputs!$M$61</f>
        <v>45388.836</v>
      </c>
      <c r="G7" s="34" t="n">
        <f aca="false">G5*Inputs!$M$61</f>
        <v>56736.045</v>
      </c>
    </row>
    <row r="8" customFormat="false" ht="15" hidden="false" customHeight="true" outlineLevel="0" collapsed="false">
      <c r="A8" s="13" t="s">
        <v>553</v>
      </c>
      <c r="B8" s="34" t="n">
        <f aca="false">B5-B7</f>
        <v>3796</v>
      </c>
      <c r="C8" s="34" t="n">
        <f aca="false">C5-C7</f>
        <v>43499.6065332187</v>
      </c>
      <c r="D8" s="34" t="n">
        <f aca="false">D5-D7</f>
        <v>86764.8</v>
      </c>
      <c r="E8" s="34" t="n">
        <f aca="false">E5-E7</f>
        <v>134485.44</v>
      </c>
      <c r="F8" s="34" t="n">
        <f aca="false">F5-F7</f>
        <v>181555.344</v>
      </c>
      <c r="G8" s="34" t="n">
        <f aca="false">G5-G7</f>
        <v>226944.18</v>
      </c>
    </row>
    <row r="10" customFormat="false" ht="15" hidden="false" customHeight="true" outlineLevel="0" collapsed="false">
      <c r="A10" s="13" t="s">
        <v>250</v>
      </c>
      <c r="B10" s="41" t="n">
        <f aca="false">Historicals!D36</f>
        <v>7326</v>
      </c>
      <c r="C10" s="34" t="n">
        <f aca="false">Historicals!F36+(Inputs!$B$5+Inputs!$M$60)*Inputs!$M$66</f>
        <v>26018.9</v>
      </c>
      <c r="D10" s="34" t="n">
        <f aca="false">C10*(1+Inputs!$M$67)</f>
        <v>44232.13</v>
      </c>
      <c r="E10" s="34" t="n">
        <f aca="false">D10*(1+Inputs!$M$68)</f>
        <v>64136.5885</v>
      </c>
      <c r="F10" s="34" t="n">
        <f aca="false">E10*(1+Inputs!$M$69)</f>
        <v>83377.56505</v>
      </c>
      <c r="G10" s="34" t="n">
        <f aca="false">F10*(1+Inputs!$M$70)</f>
        <v>100053.07806</v>
      </c>
    </row>
    <row r="11" customFormat="false" ht="15" hidden="false" customHeight="true" outlineLevel="0" collapsed="false">
      <c r="A11" s="13" t="s">
        <v>251</v>
      </c>
      <c r="B11" s="41" t="n">
        <f aca="false">Historicals!D37</f>
        <v>1839</v>
      </c>
      <c r="C11" s="34" t="n">
        <f aca="false">Historicals!F37+(Inputs!$B$5+Inputs!$M$60)*Historicals!G24</f>
        <v>9249.6455214193</v>
      </c>
      <c r="D11" s="34" t="n">
        <f aca="false">D5*Inputs!$M$71</f>
        <v>15183.84</v>
      </c>
      <c r="E11" s="34" t="n">
        <f aca="false">E5*Inputs!$M$72</f>
        <v>21853.884</v>
      </c>
      <c r="F11" s="34" t="n">
        <f aca="false">F5*Inputs!$M$73</f>
        <v>27233.3016</v>
      </c>
      <c r="G11" s="34" t="n">
        <f aca="false">G5*Inputs!$M$74</f>
        <v>31204.82475</v>
      </c>
    </row>
    <row r="12" customFormat="false" ht="15" hidden="false" customHeight="true" outlineLevel="0" collapsed="false">
      <c r="A12" s="13" t="s">
        <v>554</v>
      </c>
      <c r="B12" s="41" t="n">
        <f aca="false">Historicals!D49</f>
        <v>1158</v>
      </c>
      <c r="C12" s="34" t="n">
        <f aca="false">Historicals!F49+(Inputs!$B$5+Inputs!$M$60)*Historicals!G29</f>
        <v>6325.61981826049</v>
      </c>
      <c r="D12" s="34" t="n">
        <f aca="false">D5*Inputs!$M$75</f>
        <v>9761.04</v>
      </c>
      <c r="E12" s="34" t="n">
        <f aca="false">E5*Inputs!$M$76</f>
        <v>13448.544</v>
      </c>
      <c r="F12" s="34" t="n">
        <f aca="false">F5*Inputs!$M$77</f>
        <v>15886.0926</v>
      </c>
      <c r="G12" s="34" t="n">
        <f aca="false">G5*Inputs!$M$78</f>
        <v>17020.8135</v>
      </c>
    </row>
    <row r="13" customFormat="false" ht="15" hidden="false" customHeight="true" outlineLevel="0" collapsed="false">
      <c r="A13" s="13" t="s">
        <v>555</v>
      </c>
      <c r="B13" s="41" t="n">
        <f aca="false">Historicals!D39</f>
        <v>568</v>
      </c>
      <c r="C13" s="34" t="n">
        <f aca="false">Historicals!F39+(Inputs!$B$5+Inputs!$M$60)*Historicals!G25</f>
        <v>10178.486369537</v>
      </c>
      <c r="D13" s="34" t="n">
        <f aca="false">D5*Inputs!$M$79</f>
        <v>18437.52</v>
      </c>
      <c r="E13" s="34" t="n">
        <f aca="false">E5*Inputs!$M$80</f>
        <v>26897.088</v>
      </c>
      <c r="F13" s="34" t="n">
        <f aca="false">F5*Inputs!$M$81</f>
        <v>34041.627</v>
      </c>
      <c r="G13" s="34" t="n">
        <f aca="false">G5*Inputs!$M$82</f>
        <v>42552.03375</v>
      </c>
    </row>
    <row r="14" customFormat="false" ht="15" hidden="false" customHeight="true" outlineLevel="0" collapsed="false">
      <c r="A14" s="13" t="s">
        <v>556</v>
      </c>
      <c r="B14" s="41" t="n">
        <f aca="false">Historicals!D40</f>
        <v>1412</v>
      </c>
      <c r="C14" s="34" t="n">
        <f aca="false">Historicals!F40+(Inputs!$B$5+Inputs!$M$60)*Historicals!G26</f>
        <v>5099.39177845089</v>
      </c>
      <c r="D14" s="34" t="n">
        <f aca="false">D5*Inputs!$M$83</f>
        <v>8676.48</v>
      </c>
      <c r="E14" s="34" t="n">
        <f aca="false">E5*Inputs!$M$84</f>
        <v>11767.476</v>
      </c>
      <c r="F14" s="34" t="n">
        <f aca="false">F5*Inputs!$M$85</f>
        <v>13616.6508</v>
      </c>
      <c r="G14" s="34" t="n">
        <f aca="false">G5*Inputs!$M$86</f>
        <v>17020.8135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86529.97</v>
      </c>
      <c r="E16" s="36" t="n">
        <f aca="false">E10+E11+E13+E14+E15</f>
        <v>124655.0365</v>
      </c>
      <c r="F16" s="36" t="n">
        <f aca="false">F10+F11+F13+F14+F15</f>
        <v>158269.14445</v>
      </c>
      <c r="G16" s="36" t="n">
        <f aca="false">G10+G11+G13+G14+G15</f>
        <v>190830.75006</v>
      </c>
    </row>
    <row r="17" customFormat="false" ht="15" hidden="false" customHeight="true" outlineLevel="0" collapsed="false">
      <c r="A17" s="10" t="s">
        <v>558</v>
      </c>
      <c r="B17" s="35" t="n">
        <f aca="false">B5-B16</f>
        <v>-8060</v>
      </c>
      <c r="C17" s="35" t="n">
        <f aca="false">C5-C16</f>
        <v>1681.57633059282</v>
      </c>
      <c r="D17" s="35" t="n">
        <f aca="false">D5-D16</f>
        <v>21926.03</v>
      </c>
      <c r="E17" s="35" t="n">
        <f aca="false">E5-E16</f>
        <v>43451.7635</v>
      </c>
      <c r="F17" s="35" t="n">
        <f aca="false">F5-F16</f>
        <v>68675.03555</v>
      </c>
      <c r="G17" s="35" t="n">
        <f aca="false">G5-G16</f>
        <v>92849.4749400001</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0.202165209854688</v>
      </c>
      <c r="E18" s="16" t="n">
        <f aca="false">IFERROR(E17/E5,0)</f>
        <v>0.258477131799546</v>
      </c>
      <c r="F18" s="16" t="n">
        <f aca="false">IFERROR(F17/F5,0)</f>
        <v>0.302607608399563</v>
      </c>
      <c r="G18" s="16" t="n">
        <f aca="false">IFERROR(G17/G5,0)</f>
        <v>0.327303304063581</v>
      </c>
    </row>
    <row r="19" customFormat="false" ht="15" hidden="false" customHeight="true" outlineLevel="0" collapsed="false">
      <c r="A19" s="13" t="s">
        <v>560</v>
      </c>
      <c r="B19" s="16" t="n">
        <f aca="false">IFERROR(B10/B5,0)</f>
        <v>1.59781897491821</v>
      </c>
      <c r="C19" s="16" t="n">
        <f aca="false">IFERROR(C10/C5,0)</f>
        <v>0.479805635465073</v>
      </c>
      <c r="D19" s="16" t="n">
        <f aca="false">IFERROR(D10/D5,0)</f>
        <v>0.407834790145312</v>
      </c>
      <c r="E19" s="16" t="n">
        <f aca="false">IFERROR(E10/E5,0)</f>
        <v>0.381522868200454</v>
      </c>
      <c r="F19" s="16" t="n">
        <f aca="false">IFERROR(F10/F5,0)</f>
        <v>0.367392391600437</v>
      </c>
      <c r="G19" s="16" t="n">
        <f aca="false">IFERROR(G10/G5,0)</f>
        <v>0.352696695936419</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1/(1+Inputs!$B$19+Inputs!$M$89)^1</f>
        <v>0.892857142857143</v>
      </c>
      <c r="E21" s="52" t="n">
        <f aca="false">1/(1+Inputs!$B$19+Inputs!$M$89)^2</f>
        <v>0.79719387755102</v>
      </c>
      <c r="F21" s="52" t="n">
        <f aca="false">1/(1+Inputs!$B$19+Inputs!$M$89)^3</f>
        <v>0.711780247813411</v>
      </c>
      <c r="G21" s="52" t="n">
        <f aca="false">1/(1+Inputs!$B$19+Inputs!$M$89)^4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2169.12</v>
      </c>
      <c r="E25" s="34" t="n">
        <f aca="false">E5*E24</f>
        <v>8405.34</v>
      </c>
      <c r="F25" s="34" t="n">
        <f aca="false">F5*F24</f>
        <v>22694.418</v>
      </c>
      <c r="G25" s="34" t="n">
        <f aca="false">G5*G24</f>
        <v>42552.03375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17352.96</v>
      </c>
      <c r="E27" s="34" t="n">
        <f aca="false">E25*E26</f>
        <v>67242.72</v>
      </c>
      <c r="F27" s="34" t="n">
        <f aca="false">F25*F26</f>
        <v>181555.344</v>
      </c>
      <c r="G27" s="34" t="n">
        <f aca="false">G25*G26</f>
        <v>340416.27</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2602.944</v>
      </c>
      <c r="E29" s="36" t="n">
        <f aca="false">E27*E28</f>
        <v>10086.408</v>
      </c>
      <c r="F29" s="36" t="n">
        <f aca="false">F27*F28</f>
        <v>27233.3016</v>
      </c>
      <c r="G29" s="36" t="n">
        <f aca="false">G27*G28</f>
        <v>51062.4405</v>
      </c>
    </row>
    <row r="30" customFormat="false" ht="15" hidden="false" customHeight="true" outlineLevel="0" collapsed="false">
      <c r="A30" s="13" t="s">
        <v>570</v>
      </c>
      <c r="C30" s="34" t="n">
        <f aca="false">C25*Inputs!$C$103</f>
        <v>0</v>
      </c>
      <c r="D30" s="34" t="n">
        <f aca="false">D25*Inputs!$C$103</f>
        <v>650.736</v>
      </c>
      <c r="E30" s="34" t="n">
        <f aca="false">E25*Inputs!$C$103</f>
        <v>2521.602</v>
      </c>
      <c r="F30" s="34" t="n">
        <f aca="false">F25*Inputs!$C$103</f>
        <v>6808.3254</v>
      </c>
      <c r="G30" s="34" t="n">
        <f aca="false">G25*Inputs!$C$103</f>
        <v>12765.610125</v>
      </c>
    </row>
    <row r="31" customFormat="false" ht="15" hidden="false" customHeight="true" outlineLevel="0" collapsed="false">
      <c r="A31" s="13" t="s">
        <v>571</v>
      </c>
      <c r="C31" s="34" t="n">
        <f aca="false">C29-C30</f>
        <v>0</v>
      </c>
      <c r="D31" s="34" t="n">
        <f aca="false">D29-D30</f>
        <v>1952.208</v>
      </c>
      <c r="E31" s="34" t="n">
        <f aca="false">E29-E30</f>
        <v>7564.806</v>
      </c>
      <c r="F31" s="34" t="n">
        <f aca="false">F29-F30</f>
        <v>20424.9762</v>
      </c>
      <c r="G31" s="34" t="n">
        <f aca="false">G29-G30</f>
        <v>38296.830375</v>
      </c>
    </row>
    <row r="32" customFormat="false" ht="15" hidden="false" customHeight="true" outlineLevel="0" collapsed="false">
      <c r="A32" s="13" t="s">
        <v>572</v>
      </c>
      <c r="C32" s="34" t="n">
        <f aca="false">C29*Inputs!$C$104</f>
        <v>0</v>
      </c>
      <c r="D32" s="34" t="n">
        <f aca="false">D29*Inputs!$C$104</f>
        <v>520.5888</v>
      </c>
      <c r="E32" s="34" t="n">
        <f aca="false">E29*Inputs!$C$104</f>
        <v>2017.2816</v>
      </c>
      <c r="F32" s="34" t="n">
        <f aca="false">F29*Inputs!$C$104</f>
        <v>5446.66032</v>
      </c>
      <c r="G32" s="34" t="n">
        <f aca="false">G29*Inputs!$C$104</f>
        <v>10212.4881</v>
      </c>
    </row>
    <row r="33" customFormat="false" ht="15" hidden="false" customHeight="true" outlineLevel="0" collapsed="false">
      <c r="A33" s="13" t="s">
        <v>573</v>
      </c>
      <c r="C33" s="34" t="n">
        <f aca="false">C29*Inputs!$C$105</f>
        <v>0</v>
      </c>
      <c r="D33" s="34" t="n">
        <f aca="false">D29*Inputs!$C$105</f>
        <v>390.4416</v>
      </c>
      <c r="E33" s="34" t="n">
        <f aca="false">E29*Inputs!$C$105</f>
        <v>1512.9612</v>
      </c>
      <c r="F33" s="34" t="n">
        <f aca="false">F29*Inputs!$C$105</f>
        <v>4084.99524</v>
      </c>
      <c r="G33" s="34" t="n">
        <f aca="false">G29*Inputs!$C$105</f>
        <v>7659.366075</v>
      </c>
    </row>
    <row r="34" customFormat="false" ht="15" hidden="false" customHeight="true" outlineLevel="0" collapsed="false">
      <c r="A34" s="13" t="s">
        <v>574</v>
      </c>
      <c r="C34" s="34" t="n">
        <f aca="false">C29*Inputs!$C$106</f>
        <v>0</v>
      </c>
      <c r="D34" s="34" t="n">
        <f aca="false">D29*Inputs!$C$106</f>
        <v>260.2944</v>
      </c>
      <c r="E34" s="34" t="n">
        <f aca="false">E29*Inputs!$C$106</f>
        <v>1008.6408</v>
      </c>
      <c r="F34" s="34" t="n">
        <f aca="false">F29*Inputs!$C$106</f>
        <v>2723.33016</v>
      </c>
      <c r="G34" s="34" t="n">
        <f aca="false">G29*Inputs!$C$106</f>
        <v>5106.24405</v>
      </c>
    </row>
    <row r="35" customFormat="false" ht="15" hidden="false" customHeight="true" outlineLevel="0" collapsed="false">
      <c r="A35" s="10" t="s">
        <v>575</v>
      </c>
      <c r="C35" s="35" t="n">
        <f aca="false">C29-C30-C32-C33-C34</f>
        <v>0</v>
      </c>
      <c r="D35" s="35" t="n">
        <f aca="false">D29-D30-D32-D33-D34</f>
        <v>780.8832</v>
      </c>
      <c r="E35" s="35" t="n">
        <f aca="false">E29-E30-E32-E33-E34</f>
        <v>3025.9224</v>
      </c>
      <c r="F35" s="35" t="n">
        <f aca="false">F29-F30-F32-F33-F34</f>
        <v>8169.99048</v>
      </c>
      <c r="G35" s="35" t="n">
        <f aca="false">G29-G30-G32-G33-G34</f>
        <v>15318.73215</v>
      </c>
    </row>
    <row r="36" customFormat="false" ht="15" hidden="false" customHeight="true" outlineLevel="0" collapsed="false">
      <c r="A36" s="13" t="s">
        <v>91</v>
      </c>
      <c r="C36" s="54" t="n">
        <f aca="false">IFERROR(C27/Inputs!$B$27,0)</f>
        <v>0</v>
      </c>
      <c r="D36" s="54" t="n">
        <f aca="false">IFERROR(D27/Inputs!$B$27,0)</f>
        <v>0.000433824</v>
      </c>
      <c r="E36" s="54" t="n">
        <f aca="false">IFERROR(E27/Inputs!$B$27,0)</f>
        <v>0.001681068</v>
      </c>
      <c r="F36" s="54" t="n">
        <f aca="false">IFERROR(F27/Inputs!$B$27,0)</f>
        <v>0.0045388836</v>
      </c>
      <c r="G36" s="54" t="n">
        <f aca="false">IFERROR(G27/Inputs!$B$27,0)</f>
        <v>0.00851040675</v>
      </c>
    </row>
    <row r="37" customFormat="false" ht="15" hidden="false" customHeight="true" outlineLevel="0" collapsed="false">
      <c r="A37" s="13" t="s">
        <v>576</v>
      </c>
      <c r="C37" s="34" t="n">
        <f aca="false">CHOOSE(Inputs!$B$35,C31*Inputs!B$55,C29*Inputs!$B$36,0)</f>
        <v>0</v>
      </c>
      <c r="D37" s="34" t="n">
        <f aca="false">CHOOSE(Inputs!$B$35,D31*Inputs!C$55,D29*Inputs!$B$36,0)</f>
        <v>78.08832</v>
      </c>
      <c r="E37" s="34" t="n">
        <f aca="false">CHOOSE(Inputs!$B$35,E31*Inputs!D$55,E29*Inputs!$B$36,0)</f>
        <v>378.2403</v>
      </c>
      <c r="F37" s="34" t="n">
        <f aca="false">CHOOSE(Inputs!$B$35,F31*Inputs!E$55,F29*Inputs!$B$36,0)</f>
        <v>1021.24881</v>
      </c>
      <c r="G37" s="34" t="n">
        <f aca="false">CHOOSE(Inputs!$B$35,G31*Inputs!F$55,G29*Inputs!$B$36,0)</f>
        <v>1914.84151875</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Inputs!$M$92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44232.13</v>
      </c>
      <c r="E44" s="34" t="n">
        <f aca="false">E10*Inputs!$B$39</f>
        <v>64136.5885</v>
      </c>
      <c r="F44" s="34" t="n">
        <f aca="false">F10*Inputs!$B$39</f>
        <v>83377.56505</v>
      </c>
      <c r="G44" s="34" t="n">
        <f aca="false">G10*Inputs!$B$39</f>
        <v>100053.07806</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108456</v>
      </c>
      <c r="E49" s="34" t="n">
        <f aca="false">E5</f>
        <v>168106.8</v>
      </c>
      <c r="F49" s="34" t="n">
        <f aca="false">F5</f>
        <v>226944.18</v>
      </c>
      <c r="G49" s="34" t="n">
        <f aca="false">G5</f>
        <v>283680.225</v>
      </c>
    </row>
    <row r="50" customFormat="false" ht="15" hidden="false" customHeight="true" outlineLevel="0" collapsed="false">
      <c r="A50" s="13" t="s">
        <v>558</v>
      </c>
      <c r="C50" s="34" t="n">
        <f aca="false">C17</f>
        <v>1681.57633059282</v>
      </c>
      <c r="D50" s="34" t="n">
        <f aca="false">D17</f>
        <v>21926.03</v>
      </c>
      <c r="E50" s="34" t="n">
        <f aca="false">E17</f>
        <v>43451.7635</v>
      </c>
      <c r="F50" s="34" t="n">
        <f aca="false">F17</f>
        <v>68675.03555</v>
      </c>
      <c r="G50" s="34" t="n">
        <f aca="false">G17</f>
        <v>92849.4749400001</v>
      </c>
    </row>
    <row r="51" customFormat="false" ht="15" hidden="false" customHeight="true" outlineLevel="0" collapsed="false">
      <c r="A51" s="13" t="s">
        <v>586</v>
      </c>
      <c r="C51" s="34" t="n">
        <f aca="false">C5*Inputs!B$55</f>
        <v>1626.84</v>
      </c>
      <c r="D51" s="34" t="n">
        <f aca="false">D5*Inputs!C$55</f>
        <v>4338.24</v>
      </c>
      <c r="E51" s="34" t="n">
        <f aca="false">E5*Inputs!D$55</f>
        <v>8405.34</v>
      </c>
      <c r="F51" s="34" t="n">
        <f aca="false">F5*Inputs!E$55</f>
        <v>11347.209</v>
      </c>
      <c r="G51" s="34" t="n">
        <f aca="false">G5*Inputs!F$55</f>
        <v>14184.01125</v>
      </c>
    </row>
    <row r="52" customFormat="false" ht="15" hidden="false" customHeight="true" outlineLevel="0" collapsed="false">
      <c r="A52" s="13" t="s">
        <v>587</v>
      </c>
      <c r="C52" s="33" t="n">
        <v>0</v>
      </c>
      <c r="D52" s="34" t="n">
        <f aca="false">SUMPRODUCT($D51:D51,--((4-COLUMN($D51:D51))&lt;Inputs!$B$32))/Inputs!$B$32</f>
        <v>867.648</v>
      </c>
      <c r="E52" s="34" t="n">
        <f aca="false">SUMPRODUCT($D51:E51,--((5-COLUMN($D51:E51))&lt;Inputs!$B$32))/Inputs!$B$32</f>
        <v>2548.716</v>
      </c>
      <c r="F52" s="34" t="n">
        <f aca="false">SUMPRODUCT($D51:F51,--((6-COLUMN($D51:F51))&lt;Inputs!$B$32))/Inputs!$B$32</f>
        <v>4818.1578</v>
      </c>
      <c r="G52" s="34" t="n">
        <f aca="false">SUMPRODUCT($D51:G51,--((7-COLUMN($D51:G51))&lt;Inputs!$B$32))/Inputs!$B$32</f>
        <v>7654.96005</v>
      </c>
    </row>
    <row r="53" customFormat="false" ht="15" hidden="false" customHeight="true" outlineLevel="0" collapsed="false">
      <c r="A53" s="10" t="s">
        <v>588</v>
      </c>
      <c r="C53" s="36" t="n">
        <f aca="false">C50-C52</f>
        <v>1681.57633059282</v>
      </c>
      <c r="D53" s="36" t="n">
        <f aca="false">D50-D52</f>
        <v>21058.382</v>
      </c>
      <c r="E53" s="36" t="n">
        <f aca="false">E50-E52</f>
        <v>40903.0475</v>
      </c>
      <c r="F53" s="36" t="n">
        <f aca="false">F50-F52</f>
        <v>63856.87775</v>
      </c>
      <c r="G53" s="36" t="n">
        <f aca="false">G50-G52</f>
        <v>85194.5148900001</v>
      </c>
    </row>
    <row r="54" customFormat="false" ht="15" hidden="false" customHeight="true" outlineLevel="0" collapsed="false">
      <c r="A54" s="13" t="s">
        <v>589</v>
      </c>
      <c r="C54" s="16" t="n">
        <f aca="false">IFERROR(C53/C49,0)</f>
        <v>0.0310093739505942</v>
      </c>
      <c r="D54" s="16" t="n">
        <f aca="false">IFERROR(D53/D49,0)</f>
        <v>0.194165209854688</v>
      </c>
      <c r="E54" s="16" t="n">
        <f aca="false">IFERROR(E53/E49,0)</f>
        <v>0.243315841476966</v>
      </c>
      <c r="F54" s="16" t="n">
        <f aca="false">IFERROR(F53/F49,0)</f>
        <v>0.28137702297543</v>
      </c>
      <c r="G54" s="16" t="n">
        <f aca="false">IFERROR(G53/G49,0)</f>
        <v>0.300318835724274</v>
      </c>
    </row>
    <row r="55" customFormat="false" ht="15" hidden="false" customHeight="true" outlineLevel="0" collapsed="false">
      <c r="A55" s="13" t="s">
        <v>590</v>
      </c>
      <c r="C55" s="34" t="n">
        <f aca="false">Historicals!F43+C80*Inputs!$B$20/2</f>
        <v>2756.6375</v>
      </c>
      <c r="D55" s="34" t="n">
        <f aca="false">MAX(0,D80-D81)*Inputs!$B$20</f>
        <v>3493.89921861072</v>
      </c>
      <c r="E55" s="34" t="n">
        <f aca="false">MAX(0,E80-E81)*Inputs!$B$20</f>
        <v>4136.06797267828</v>
      </c>
      <c r="F55" s="34" t="n">
        <f aca="false">MAX(0,F80-F81)*Inputs!$B$20</f>
        <v>5215.38850326368</v>
      </c>
      <c r="G55" s="34" t="n">
        <f aca="false">MAX(0,G80-G81)*Inputs!$B$20</f>
        <v>6813.49179676564</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24552.2812186107</v>
      </c>
      <c r="E58" s="34" t="n">
        <f aca="false">E53+E55+E56-E57</f>
        <v>45039.1154726783</v>
      </c>
      <c r="F58" s="34" t="n">
        <f aca="false">F53+F55+F56-F57</f>
        <v>69072.2662532637</v>
      </c>
      <c r="G58" s="34" t="n">
        <f aca="false">G53+G55+G56-G57</f>
        <v>92008.0066867657</v>
      </c>
    </row>
    <row r="59" customFormat="false" ht="15" hidden="false" customHeight="true" outlineLevel="0" collapsed="false">
      <c r="A59" s="13" t="s">
        <v>594</v>
      </c>
      <c r="C59" s="34" t="n">
        <f aca="false">C58*Inputs!$B$46</f>
        <v>3195.51395802683</v>
      </c>
      <c r="D59" s="34" t="n">
        <f aca="false">D58*Inputs!$B$46</f>
        <v>17677.6424773997</v>
      </c>
      <c r="E59" s="34" t="n">
        <f aca="false">E58*Inputs!$B$46</f>
        <v>32428.1631403284</v>
      </c>
      <c r="F59" s="34" t="n">
        <f aca="false">F58*Inputs!$B$46</f>
        <v>49732.0317023499</v>
      </c>
      <c r="G59" s="34" t="n">
        <f aca="false">G58*Inputs!$B$46</f>
        <v>66245.7648144713</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191.73083748161</v>
      </c>
      <c r="D63" s="34" t="n">
        <f aca="false">MAX(0,D59-D61)*Inputs!$B$47</f>
        <v>808.658548643983</v>
      </c>
      <c r="E63" s="34" t="n">
        <f aca="false">MAX(0,E59-E61)*Inputs!$B$47</f>
        <v>1945.6897884197</v>
      </c>
      <c r="F63" s="34" t="n">
        <f aca="false">MAX(0,F59-F61)*Inputs!$B$47</f>
        <v>2983.92190214099</v>
      </c>
      <c r="G63" s="34" t="n">
        <f aca="false">MAX(0,G59-G61)*Inputs!$B$47</f>
        <v>3974.74588886828</v>
      </c>
    </row>
    <row r="64" customFormat="false" ht="15" hidden="false" customHeight="true" outlineLevel="0" collapsed="false">
      <c r="A64" s="13" t="s">
        <v>599</v>
      </c>
      <c r="C64" s="34" t="n">
        <f aca="false">C58-C63</f>
        <v>4246.48299311121</v>
      </c>
      <c r="D64" s="34" t="n">
        <f aca="false">D58-D63</f>
        <v>23743.6226699667</v>
      </c>
      <c r="E64" s="34" t="n">
        <f aca="false">E58-E63</f>
        <v>43093.4256842586</v>
      </c>
      <c r="F64" s="34" t="n">
        <f aca="false">F58-F63</f>
        <v>66088.3443511227</v>
      </c>
      <c r="G64" s="34" t="n">
        <f aca="false">G58-G63</f>
        <v>88033.2607978975</v>
      </c>
    </row>
    <row r="65" customFormat="false" ht="15" hidden="false" customHeight="true" outlineLevel="0" collapsed="false">
      <c r="A65" s="13" t="s">
        <v>600</v>
      </c>
      <c r="C65" s="34" t="n">
        <f aca="false">Inputs!$B$44</f>
        <v>8200</v>
      </c>
      <c r="D65" s="34" t="n">
        <f aca="false">C67</f>
        <v>4802.81360551103</v>
      </c>
      <c r="E65" s="34" t="n">
        <f aca="false">D67</f>
        <v>0</v>
      </c>
      <c r="F65" s="34" t="n">
        <f aca="false">E67</f>
        <v>0</v>
      </c>
      <c r="G65" s="34" t="n">
        <f aca="false">F67</f>
        <v>0</v>
      </c>
    </row>
    <row r="66" customFormat="false" ht="15" hidden="false" customHeight="true" outlineLevel="0" collapsed="false">
      <c r="A66" s="13" t="s">
        <v>601</v>
      </c>
      <c r="C66" s="34" t="n">
        <f aca="false">MIN(C65,Inputs!$B$45*MAX(0,C64))</f>
        <v>3397.18639448897</v>
      </c>
      <c r="D66" s="34" t="n">
        <f aca="false">MIN(D65,Inputs!$B$45*MAX(0,D64))</f>
        <v>4802.81360551103</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0</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178.352285710671</v>
      </c>
      <c r="D68" s="34" t="n">
        <f aca="false">MAX(0,D64-D66)*Inputs!$B$43</f>
        <v>3977.5699035357</v>
      </c>
      <c r="E68" s="34" t="n">
        <f aca="false">MAX(0,E64-E66)*Inputs!$B$43</f>
        <v>9049.6193936943</v>
      </c>
      <c r="F68" s="34" t="n">
        <f aca="false">MAX(0,F64-F66)*Inputs!$B$43</f>
        <v>13878.5523137358</v>
      </c>
      <c r="G68" s="34" t="n">
        <f aca="false">MAX(0,G64-G66)*Inputs!$B$43</f>
        <v>18486.9847675585</v>
      </c>
    </row>
    <row r="69" customFormat="false" ht="15" hidden="false" customHeight="true" outlineLevel="0" collapsed="false">
      <c r="A69" s="10" t="s">
        <v>604</v>
      </c>
      <c r="C69" s="36" t="n">
        <f aca="false">IF(Inputs!$M$90=0,MAX(0,C53+C55)*Inputs!B$54,IF(Inputs!$M$90=2,MAX(0,C58)*Inputs!$M$91,C63+C68))</f>
        <v>932.024904424492</v>
      </c>
      <c r="D69" s="36" t="n">
        <f aca="false">IF(Inputs!$M$90=0,MAX(0,D53+D55)*Inputs!C$54,IF(Inputs!$M$90=2,MAX(0,D58)*Inputs!$M$91,D63+D68))</f>
        <v>5155.97905590825</v>
      </c>
      <c r="E69" s="36" t="n">
        <f aca="false">IF(Inputs!$M$90=0,MAX(0,E53+E55)*Inputs!D$54,IF(Inputs!$M$90=2,MAX(0,E58)*Inputs!$M$91,E63+E68))</f>
        <v>9458.21424926244</v>
      </c>
      <c r="F69" s="36" t="n">
        <f aca="false">IF(Inputs!$M$90=0,MAX(0,F53+F55)*Inputs!E$54,IF(Inputs!$M$90=2,MAX(0,F58)*Inputs!$M$91,F63+F68))</f>
        <v>14505.1759131854</v>
      </c>
      <c r="G69" s="36" t="n">
        <f aca="false">IF(Inputs!$M$90=0,MAX(0,G53+G55)*Inputs!F$54,IF(Inputs!$M$90=2,MAX(0,G58)*Inputs!$M$91,G63+G68))</f>
        <v>19321.6814042208</v>
      </c>
    </row>
    <row r="70" customFormat="false" ht="15" hidden="false" customHeight="true" outlineLevel="0" collapsed="false">
      <c r="A70" s="13" t="s">
        <v>605</v>
      </c>
      <c r="C70" s="16" t="n">
        <f aca="false">IF(C58&gt;0,MIN(1,C69/C58),0)</f>
        <v>0.21</v>
      </c>
      <c r="D70" s="16" t="n">
        <f aca="false">IF(D58&gt;0,MIN(1,D69/D58),0)</f>
        <v>0.21</v>
      </c>
      <c r="E70" s="16" t="n">
        <f aca="false">IF(E58&gt;0,MIN(1,E69/E58),0)</f>
        <v>0.21</v>
      </c>
      <c r="F70" s="16" t="n">
        <f aca="false">IF(F58&gt;0,MIN(1,F69/F58),0)</f>
        <v>0.21</v>
      </c>
      <c r="G70" s="16" t="n">
        <f aca="false">IF(G58&gt;0,MIN(1,G69/G58),0)</f>
        <v>0.21</v>
      </c>
    </row>
    <row r="71" customFormat="false" ht="15" hidden="false" customHeight="true" outlineLevel="0" collapsed="false">
      <c r="A71" s="13" t="s">
        <v>606</v>
      </c>
      <c r="C71" s="34" t="n">
        <f aca="false">C53+C55-C69</f>
        <v>3506.18892616833</v>
      </c>
      <c r="D71" s="34" t="n">
        <f aca="false">D53+D55-D69</f>
        <v>19396.3021627025</v>
      </c>
      <c r="E71" s="34" t="n">
        <f aca="false">E53+E55-E69</f>
        <v>35580.9012234158</v>
      </c>
      <c r="F71" s="34" t="n">
        <f aca="false">F53+F55-F69</f>
        <v>54567.0903400783</v>
      </c>
      <c r="G71" s="34" t="n">
        <f aca="false">G53+G55-G69</f>
        <v>72686.325282545</v>
      </c>
    </row>
    <row r="72" customFormat="false" ht="15" hidden="false" customHeight="true" outlineLevel="0" collapsed="false">
      <c r="A72" s="13" t="s">
        <v>607</v>
      </c>
      <c r="C72" s="34" t="n">
        <f aca="false">C12+C20</f>
        <v>8451.61981826049</v>
      </c>
      <c r="D72" s="34" t="n">
        <f aca="false">D12+D20</f>
        <v>9761.04</v>
      </c>
      <c r="E72" s="34" t="n">
        <f aca="false">E12+E20</f>
        <v>13448.544</v>
      </c>
      <c r="F72" s="34" t="n">
        <f aca="false">F12+F20</f>
        <v>15886.0926</v>
      </c>
      <c r="G72" s="34" t="n">
        <f aca="false">G12+G20</f>
        <v>17020.8135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10330.9687444288</v>
      </c>
      <c r="D75" s="36" t="n">
        <f aca="false">D53+D72+D52+D55-D69-D51+D73+D74</f>
        <v>25686.7501627025</v>
      </c>
      <c r="E75" s="36" t="n">
        <f aca="false">E53+E72+E52+E55-E69-E51+E73+E74</f>
        <v>43172.8212234158</v>
      </c>
      <c r="F75" s="36" t="n">
        <f aca="false">F53+F72+F52+F55-F69-F51+F73+F74</f>
        <v>63924.1317400783</v>
      </c>
      <c r="G75" s="36" t="n">
        <f aca="false">G53+G72+G52+G55-G69-G51+G73+G74</f>
        <v>83178.087582545</v>
      </c>
    </row>
    <row r="76" customFormat="false" ht="15" hidden="false" customHeight="true" outlineLevel="0" collapsed="false">
      <c r="A76" s="10" t="s">
        <v>611</v>
      </c>
      <c r="C76" s="36" t="n">
        <f aca="false">C53+C52-(C69-C55*C70)-C51+C73+C74</f>
        <v>-298.394698831673</v>
      </c>
      <c r="D76" s="36" t="n">
        <f aca="false">D53+D52-(D69-D55*D70)-D51+D73+D74</f>
        <v>13165.52978</v>
      </c>
      <c r="E76" s="36" t="n">
        <f aca="false">E53+E52-(E69-E55*E70)-E51+E73+E74</f>
        <v>26456.783525</v>
      </c>
      <c r="F76" s="36" t="n">
        <f aca="false">F53+F52-(F69-F55*F70)-F51+F73+F74</f>
        <v>43917.8822225</v>
      </c>
      <c r="G76" s="36" t="n">
        <f aca="false">G53+G52-(G69-G55*G70)-G51+G73+G74</f>
        <v>60774.6155631001</v>
      </c>
    </row>
    <row r="77" customFormat="false" ht="15" hidden="false" customHeight="true" outlineLevel="0" collapsed="false">
      <c r="A77" s="13" t="s">
        <v>612</v>
      </c>
      <c r="C77" s="16" t="n">
        <f aca="false">IFERROR(C76/C49,0)</f>
        <v>-0.00550259457903062</v>
      </c>
      <c r="D77" s="16" t="n">
        <f aca="false">IFERROR(D76/D49,0)</f>
        <v>0.121390515785203</v>
      </c>
      <c r="E77" s="16" t="n">
        <f aca="false">IFERROR(E76/E49,0)</f>
        <v>0.157380805089384</v>
      </c>
      <c r="F77" s="16" t="n">
        <f aca="false">IFERROR(F76/F49,0)</f>
        <v>0.193518433574723</v>
      </c>
      <c r="G77" s="16" t="n">
        <f aca="false">IFERROR(G76/G49,0)</f>
        <v>0.214236348561484</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139755.968744429</v>
      </c>
      <c r="E80" s="34" t="n">
        <f aca="false">D85</f>
        <v>165442.718907131</v>
      </c>
      <c r="F80" s="34" t="n">
        <f aca="false">E85</f>
        <v>208615.540130547</v>
      </c>
      <c r="G80" s="34" t="n">
        <f aca="false">F85</f>
        <v>272539.671870625</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8104.96874442882</v>
      </c>
      <c r="D82" s="34" t="n">
        <f aca="false">D75</f>
        <v>25686.7501627025</v>
      </c>
      <c r="E82" s="34" t="n">
        <f aca="false">E75</f>
        <v>43172.8212234158</v>
      </c>
      <c r="F82" s="34" t="n">
        <f aca="false">F75</f>
        <v>63924.1317400783</v>
      </c>
      <c r="G82" s="34" t="n">
        <f aca="false">G75</f>
        <v>83178.087582545</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139755.968744429</v>
      </c>
      <c r="D85" s="36" t="n">
        <f aca="false">D80+D82+D83+D84</f>
        <v>165442.718907131</v>
      </c>
      <c r="E85" s="36" t="n">
        <f aca="false">E80+E82+E83+E84</f>
        <v>208615.540130547</v>
      </c>
      <c r="F85" s="36" t="n">
        <f aca="false">F80+F82+F83+F84</f>
        <v>272539.671870625</v>
      </c>
      <c r="G85" s="36" t="n">
        <f aca="false">G80+G82+G83+G84</f>
        <v>355717.75945317</v>
      </c>
    </row>
    <row r="86" customFormat="false" ht="15" hidden="false" customHeight="true" outlineLevel="0" collapsed="false">
      <c r="A86" s="13" t="s">
        <v>622</v>
      </c>
      <c r="C86" s="34" t="n">
        <f aca="false">MIN(C80-C81,C85)</f>
        <v>131651</v>
      </c>
      <c r="D86" s="34" t="n">
        <f aca="false">MIN(D80-D81,D85)</f>
        <v>139755.968744429</v>
      </c>
      <c r="E86" s="34" t="n">
        <f aca="false">MIN(E80-E81,E85)</f>
        <v>165442.718907131</v>
      </c>
      <c r="F86" s="34" t="n">
        <f aca="false">MIN(F80-F81,F85)</f>
        <v>208615.540130547</v>
      </c>
      <c r="G86" s="34" t="n">
        <f aca="false">MIN(G80-G81,G85)</f>
        <v>272539.671870625</v>
      </c>
    </row>
    <row r="87" customFormat="false" ht="15" hidden="false" customHeight="true" outlineLevel="0" collapsed="false">
      <c r="A87" s="13" t="s">
        <v>623</v>
      </c>
      <c r="C87" s="34" t="n">
        <f aca="false">C86-Inputs!$B$29</f>
        <v>126651</v>
      </c>
      <c r="D87" s="34" t="n">
        <f aca="false">D86-Inputs!$B$29</f>
        <v>134755.968744429</v>
      </c>
      <c r="E87" s="34" t="n">
        <f aca="false">E86-Inputs!$B$29</f>
        <v>160442.718907131</v>
      </c>
      <c r="F87" s="34" t="n">
        <f aca="false">F86-Inputs!$B$29</f>
        <v>203615.540130547</v>
      </c>
      <c r="G87" s="34" t="n">
        <f aca="false">G86-Inputs!$B$29</f>
        <v>267539.671870625</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139755.968744429</v>
      </c>
      <c r="D100" s="34" t="n">
        <f aca="false">D85+SUM($C97:D97)+SUM($C98:D98)-SUM($C99:D99)</f>
        <v>165442.718907131</v>
      </c>
      <c r="E100" s="34" t="n">
        <f aca="false">E85+SUM($C97:E97)+SUM($C98:E98)-SUM($C99:E99)</f>
        <v>208615.540130547</v>
      </c>
      <c r="F100" s="34" t="n">
        <f aca="false">F85+SUM($C97:F97)+SUM($C98:F98)-SUM($C99:F99)</f>
        <v>272539.671870625</v>
      </c>
      <c r="G100" s="34" t="n">
        <f aca="false">G85+SUM($C97:G97)+SUM($C98:G98)-SUM($C99:G99)</f>
        <v>355717.75945317</v>
      </c>
    </row>
    <row r="101" customFormat="false" ht="15" hidden="false" customHeight="true" outlineLevel="0" collapsed="false">
      <c r="A101" s="13" t="s">
        <v>637</v>
      </c>
      <c r="C101" s="34" t="n">
        <f aca="false">MIN(C80-C81+0+C97,C100)</f>
        <v>131651</v>
      </c>
      <c r="D101" s="34" t="n">
        <f aca="false">MIN(D80-D81+SUM($C97:C97)+SUM($C98:C98)-SUM($C99:C99)+D97,D100)</f>
        <v>139755.968744429</v>
      </c>
      <c r="E101" s="34" t="n">
        <f aca="false">MIN(E80-E81+SUM($C97:D97)+SUM($C98:D98)-SUM($C99:D99)+E97,E100)</f>
        <v>165442.718907131</v>
      </c>
      <c r="F101" s="34" t="n">
        <f aca="false">MIN(F80-F81+SUM($C97:E97)+SUM($C98:E98)-SUM($C99:E99)+F97,F100)</f>
        <v>208615.540130547</v>
      </c>
      <c r="G101" s="34" t="n">
        <f aca="false">MIN(G80-G81+SUM($C97:F97)+SUM($C98:F98)-SUM($C99:F99)+G97,G100)</f>
        <v>272539.671870625</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110408.208</v>
      </c>
      <c r="E105" s="34" t="n">
        <f aca="false">E5+E31</f>
        <v>175671.606</v>
      </c>
      <c r="F105" s="34" t="n">
        <f aca="false">F5+F31</f>
        <v>247369.1562</v>
      </c>
      <c r="G105" s="34" t="n">
        <f aca="false">G5+G31</f>
        <v>321977.055375</v>
      </c>
    </row>
    <row r="106" customFormat="false" ht="15" hidden="false" customHeight="true" outlineLevel="0" collapsed="false">
      <c r="A106" s="13" t="s">
        <v>558</v>
      </c>
      <c r="C106" s="34" t="n">
        <f aca="false">C17+C35</f>
        <v>1681.57633059282</v>
      </c>
      <c r="D106" s="34" t="n">
        <f aca="false">D17+D35</f>
        <v>22706.9132</v>
      </c>
      <c r="E106" s="34" t="n">
        <f aca="false">E17+E35</f>
        <v>46477.6859</v>
      </c>
      <c r="F106" s="34" t="n">
        <f aca="false">F17+F35</f>
        <v>76845.02603</v>
      </c>
      <c r="G106" s="34" t="n">
        <f aca="false">G17+G35</f>
        <v>108168.20709</v>
      </c>
    </row>
    <row r="107" customFormat="false" ht="15" hidden="false" customHeight="true" outlineLevel="0" collapsed="false">
      <c r="A107" s="13" t="s">
        <v>586</v>
      </c>
      <c r="C107" s="34" t="n">
        <f aca="false">C51+C37</f>
        <v>1626.84</v>
      </c>
      <c r="D107" s="34" t="n">
        <f aca="false">D51+D37</f>
        <v>4416.32832</v>
      </c>
      <c r="E107" s="34" t="n">
        <f aca="false">E51+E37</f>
        <v>8783.5803</v>
      </c>
      <c r="F107" s="34" t="n">
        <f aca="false">F51+F37</f>
        <v>12368.45781</v>
      </c>
      <c r="G107" s="34" t="n">
        <f aca="false">G51+G37</f>
        <v>16098.85276875</v>
      </c>
    </row>
    <row r="108" customFormat="false" ht="15" hidden="false" customHeight="true" outlineLevel="0" collapsed="false">
      <c r="A108" s="13" t="s">
        <v>587</v>
      </c>
      <c r="C108" s="33" t="n">
        <v>0</v>
      </c>
      <c r="D108" s="34" t="n">
        <f aca="false">SUMPRODUCT($D107:D107,--((4-COLUMN($D107:D107))&lt;Inputs!$B$32))/Inputs!$B$32</f>
        <v>883.265664</v>
      </c>
      <c r="E108" s="34" t="n">
        <f aca="false">SUMPRODUCT($D107:E107,--((5-COLUMN($D107:E107))&lt;Inputs!$B$32))/Inputs!$B$32</f>
        <v>2639.981724</v>
      </c>
      <c r="F108" s="34" t="n">
        <f aca="false">SUMPRODUCT($D107:F107,--((6-COLUMN($D107:F107))&lt;Inputs!$B$32))/Inputs!$B$32</f>
        <v>5113.673286</v>
      </c>
      <c r="G108" s="34" t="n">
        <f aca="false">SUMPRODUCT($D107:G107,--((7-COLUMN($D107:G107))&lt;Inputs!$B$32))/Inputs!$B$32</f>
        <v>8333.44383975</v>
      </c>
    </row>
    <row r="109" customFormat="false" ht="15" hidden="false" customHeight="true" outlineLevel="0" collapsed="false">
      <c r="A109" s="10" t="s">
        <v>588</v>
      </c>
      <c r="C109" s="36" t="n">
        <f aca="false">C106-C108</f>
        <v>1681.57633059282</v>
      </c>
      <c r="D109" s="36" t="n">
        <f aca="false">D106-D108</f>
        <v>21823.647536</v>
      </c>
      <c r="E109" s="36" t="n">
        <f aca="false">E106-E108</f>
        <v>43837.704176</v>
      </c>
      <c r="F109" s="36" t="n">
        <f aca="false">F106-F108</f>
        <v>71731.352744</v>
      </c>
      <c r="G109" s="36" t="n">
        <f aca="false">G106-G108</f>
        <v>99834.7632502501</v>
      </c>
    </row>
    <row r="110" customFormat="false" ht="15" hidden="false" customHeight="true" outlineLevel="0" collapsed="false">
      <c r="A110" s="13" t="s">
        <v>589</v>
      </c>
      <c r="C110" s="16" t="n">
        <f aca="false">IFERROR(C109/C105,0)</f>
        <v>0.0310093739505942</v>
      </c>
      <c r="D110" s="16" t="n">
        <f aca="false">IFERROR(D109/D105,0)</f>
        <v>0.1976632709771</v>
      </c>
      <c r="E110" s="16" t="n">
        <f aca="false">IFERROR(E109/E105,0)</f>
        <v>0.249543481580057</v>
      </c>
      <c r="F110" s="16" t="n">
        <f aca="false">IFERROR(F109/F105,0)</f>
        <v>0.289976947190638</v>
      </c>
      <c r="G110" s="16" t="n">
        <f aca="false">IFERROR(G109/G105,0)</f>
        <v>0.310067942990455</v>
      </c>
    </row>
    <row r="111" customFormat="false" ht="15" hidden="false" customHeight="true" outlineLevel="0" collapsed="false">
      <c r="A111" s="13" t="s">
        <v>590</v>
      </c>
      <c r="C111" s="34" t="n">
        <f aca="false">Historicals!F43+C136*Inputs!$B$20/2</f>
        <v>2756.6375</v>
      </c>
      <c r="D111" s="34" t="n">
        <f aca="false">MAX(0,D136-D137)*Inputs!$B$20</f>
        <v>3493.89921861072</v>
      </c>
      <c r="E111" s="34" t="n">
        <f aca="false">MAX(0,E136-E137)*Inputs!$B$20</f>
        <v>4149.62020061428</v>
      </c>
      <c r="F111" s="34" t="n">
        <f aca="false">MAX(0,F136-F137)*Inputs!$B$20</f>
        <v>5279.99349265242</v>
      </c>
      <c r="G111" s="34" t="n">
        <f aca="false">MAX(0,G136-G137)*Inputs!$B$20</f>
        <v>7016.7502827263</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25317.5467546107</v>
      </c>
      <c r="E114" s="34" t="n">
        <f aca="false">E109+E111+E112-E113</f>
        <v>47987.3243766143</v>
      </c>
      <c r="F114" s="34" t="n">
        <f aca="false">F109+F111+F112-F113</f>
        <v>77011.3462366525</v>
      </c>
      <c r="G114" s="34" t="n">
        <f aca="false">G109+G111+G112-G113</f>
        <v>106851.513532976</v>
      </c>
    </row>
    <row r="115" customFormat="false" ht="15" hidden="false" customHeight="true" outlineLevel="0" collapsed="false">
      <c r="A115" s="13" t="s">
        <v>594</v>
      </c>
      <c r="C115" s="34" t="n">
        <f aca="false">C114*Inputs!$B$46</f>
        <v>3195.51395802683</v>
      </c>
      <c r="D115" s="34" t="n">
        <f aca="false">D114*Inputs!$B$46</f>
        <v>18228.6336633197</v>
      </c>
      <c r="E115" s="34" t="n">
        <f aca="false">E114*Inputs!$B$46</f>
        <v>34550.8735511623</v>
      </c>
      <c r="F115" s="34" t="n">
        <f aca="false">F114*Inputs!$B$46</f>
        <v>55448.1692903898</v>
      </c>
      <c r="G115" s="34" t="n">
        <f aca="false">G114*Inputs!$B$46</f>
        <v>76933.089743743</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191.73083748161</v>
      </c>
      <c r="D119" s="34" t="n">
        <f aca="false">MAX(0,D115-D117)*Inputs!$B$47</f>
        <v>841.718019799183</v>
      </c>
      <c r="E119" s="34" t="n">
        <f aca="false">MAX(0,E115-E117)*Inputs!$B$47</f>
        <v>2073.05241306974</v>
      </c>
      <c r="F119" s="34" t="n">
        <f aca="false">MAX(0,F115-F117)*Inputs!$B$47</f>
        <v>3326.89015742339</v>
      </c>
      <c r="G119" s="34" t="n">
        <f aca="false">MAX(0,G115-G117)*Inputs!$B$47</f>
        <v>4615.98538462458</v>
      </c>
    </row>
    <row r="120" customFormat="false" ht="15" hidden="false" customHeight="true" outlineLevel="0" collapsed="false">
      <c r="A120" s="13" t="s">
        <v>599</v>
      </c>
      <c r="C120" s="34" t="n">
        <f aca="false">C114-C119</f>
        <v>4246.48299311121</v>
      </c>
      <c r="D120" s="34" t="n">
        <f aca="false">D114-D119</f>
        <v>24475.8287348115</v>
      </c>
      <c r="E120" s="34" t="n">
        <f aca="false">E114-E119</f>
        <v>45914.2719635446</v>
      </c>
      <c r="F120" s="34" t="n">
        <f aca="false">F114-F119</f>
        <v>73684.4560792291</v>
      </c>
      <c r="G120" s="34" t="n">
        <f aca="false">G114-G119</f>
        <v>102235.528148352</v>
      </c>
    </row>
    <row r="121" customFormat="false" ht="15" hidden="false" customHeight="true" outlineLevel="0" collapsed="false">
      <c r="A121" s="13" t="s">
        <v>600</v>
      </c>
      <c r="C121" s="34" t="n">
        <f aca="false">Inputs!$B$44</f>
        <v>8200</v>
      </c>
      <c r="D121" s="34" t="n">
        <f aca="false">C123</f>
        <v>4802.81360551103</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3397.18639448897</v>
      </c>
      <c r="D122" s="34" t="n">
        <f aca="false">MIN(D121,Inputs!$B$45*MAX(0,D120))</f>
        <v>4802.81360551103</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178.352285710671</v>
      </c>
      <c r="D124" s="34" t="n">
        <f aca="false">MAX(0,D120-D122)*Inputs!$B$43</f>
        <v>4131.33317715311</v>
      </c>
      <c r="E124" s="34" t="n">
        <f aca="false">MAX(0,E120-E122)*Inputs!$B$43</f>
        <v>9641.99711234436</v>
      </c>
      <c r="F124" s="34" t="n">
        <f aca="false">MAX(0,F120-F122)*Inputs!$B$43</f>
        <v>15473.7357766381</v>
      </c>
      <c r="G124" s="34" t="n">
        <f aca="false">MAX(0,G120-G122)*Inputs!$B$43</f>
        <v>21469.4609111539</v>
      </c>
    </row>
    <row r="125" customFormat="false" ht="15" hidden="false" customHeight="true" outlineLevel="0" collapsed="false">
      <c r="A125" s="10" t="s">
        <v>604</v>
      </c>
      <c r="C125" s="36" t="n">
        <f aca="false">IF(Inputs!$M$90=0,MAX(0,C109+C111)*Inputs!B$54,IF(Inputs!$M$90=2,MAX(0,C114)*Inputs!$M$91,C119+C124))</f>
        <v>932.024904424492</v>
      </c>
      <c r="D125" s="36" t="n">
        <f aca="false">IF(Inputs!$M$90=0,MAX(0,D109+D111)*Inputs!C$54,IF(Inputs!$M$90=2,MAX(0,D114)*Inputs!$M$91,D119+D124))</f>
        <v>5316.68481846825</v>
      </c>
      <c r="E125" s="36" t="n">
        <f aca="false">IF(Inputs!$M$90=0,MAX(0,E109+E111)*Inputs!D$54,IF(Inputs!$M$90=2,MAX(0,E114)*Inputs!$M$91,E119+E124))</f>
        <v>10077.338119089</v>
      </c>
      <c r="F125" s="36" t="n">
        <f aca="false">IF(Inputs!$M$90=0,MAX(0,F109+F111)*Inputs!E$54,IF(Inputs!$M$90=2,MAX(0,F114)*Inputs!$M$91,F119+F124))</f>
        <v>16172.382709697</v>
      </c>
      <c r="G125" s="36" t="n">
        <f aca="false">IF(Inputs!$M$90=0,MAX(0,G109+G111)*Inputs!F$54,IF(Inputs!$M$90=2,MAX(0,G114)*Inputs!$M$91,G119+G124))</f>
        <v>22438.817841925</v>
      </c>
    </row>
    <row r="126" customFormat="false" ht="15" hidden="false" customHeight="true" outlineLevel="0" collapsed="false">
      <c r="A126" s="13" t="s">
        <v>605</v>
      </c>
      <c r="C126" s="16" t="n">
        <f aca="false">IF(C114&gt;0,MIN(1,C125/C114),0)</f>
        <v>0.21</v>
      </c>
      <c r="D126" s="16" t="n">
        <f aca="false">IF(D114&gt;0,MIN(1,D125/D114),0)</f>
        <v>0.21</v>
      </c>
      <c r="E126" s="16" t="n">
        <f aca="false">IF(E114&gt;0,MIN(1,E125/E114),0)</f>
        <v>0.21</v>
      </c>
      <c r="F126" s="16" t="n">
        <f aca="false">IF(F114&gt;0,MIN(1,F125/F114),0)</f>
        <v>0.21</v>
      </c>
      <c r="G126" s="16" t="n">
        <f aca="false">IF(G114&gt;0,MIN(1,G125/G114),0)</f>
        <v>0.21</v>
      </c>
    </row>
    <row r="127" customFormat="false" ht="15" hidden="false" customHeight="true" outlineLevel="0" collapsed="false">
      <c r="A127" s="13" t="s">
        <v>606</v>
      </c>
      <c r="C127" s="34" t="n">
        <f aca="false">C109+C111-C125</f>
        <v>3506.18892616833</v>
      </c>
      <c r="D127" s="34" t="n">
        <f aca="false">D109+D111-D125</f>
        <v>20000.8619361425</v>
      </c>
      <c r="E127" s="34" t="n">
        <f aca="false">E109+E111-E125</f>
        <v>37909.9862575253</v>
      </c>
      <c r="F127" s="34" t="n">
        <f aca="false">F109+F111-F125</f>
        <v>60838.9635269554</v>
      </c>
      <c r="G127" s="34" t="n">
        <f aca="false">G109+G111-G125</f>
        <v>84412.6956910513</v>
      </c>
    </row>
    <row r="128" customFormat="false" ht="15" hidden="false" customHeight="true" outlineLevel="0" collapsed="false">
      <c r="A128" s="13" t="s">
        <v>607</v>
      </c>
      <c r="C128" s="34" t="n">
        <f aca="false">C12+C20</f>
        <v>8451.61981826049</v>
      </c>
      <c r="D128" s="34" t="n">
        <f aca="false">D12+D20</f>
        <v>9761.04</v>
      </c>
      <c r="E128" s="34" t="n">
        <f aca="false">E12+E20</f>
        <v>13448.544</v>
      </c>
      <c r="F128" s="34" t="n">
        <f aca="false">F12+F20</f>
        <v>15886.0926</v>
      </c>
      <c r="G128" s="34" t="n">
        <f aca="false">G12+G20</f>
        <v>17020.8135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10330.9687444288</v>
      </c>
      <c r="D131" s="36" t="n">
        <f aca="false">D109+D128+D108+D111-D125-D107+D129+D130</f>
        <v>26228.8392801425</v>
      </c>
      <c r="E131" s="36" t="n">
        <f aca="false">E109+E128+E108+E111-E125-E107+E129+E130</f>
        <v>45214.9316815253</v>
      </c>
      <c r="F131" s="36" t="n">
        <f aca="false">F109+F128+F108+F111-F125-F107+F129+F130</f>
        <v>69470.2716029554</v>
      </c>
      <c r="G131" s="36" t="n">
        <f aca="false">G109+G128+G108+G111-G125-G107+G129+G130</f>
        <v>93668.1002620514</v>
      </c>
    </row>
    <row r="132" customFormat="false" ht="15" hidden="false" customHeight="true" outlineLevel="0" collapsed="false">
      <c r="A132" s="10" t="s">
        <v>611</v>
      </c>
      <c r="C132" s="36" t="n">
        <f aca="false">C109+C108-(C125-C111*C126)-C107+C129+C130</f>
        <v>-298.394698831673</v>
      </c>
      <c r="D132" s="36" t="n">
        <f aca="false">D109+D108-(D125-D111*D126)-D107+D129+D130</f>
        <v>13707.61889744</v>
      </c>
      <c r="E132" s="36" t="n">
        <f aca="false">E109+E108-(E125-E111*E126)-E107+E129+E130</f>
        <v>28488.18772304</v>
      </c>
      <c r="F132" s="36" t="n">
        <f aca="false">F109+F108-(F125-F111*F126)-F107+F129+F130</f>
        <v>49412.98414376</v>
      </c>
      <c r="G132" s="36" t="n">
        <f aca="false">G109+G108-(G125-G111*G126)-G107+G129+G130</f>
        <v>71104.0540386976</v>
      </c>
    </row>
    <row r="133" customFormat="false" ht="15" hidden="false" customHeight="true" outlineLevel="0" collapsed="false">
      <c r="A133" s="13" t="s">
        <v>612</v>
      </c>
      <c r="C133" s="16" t="n">
        <f aca="false">IFERROR(C132/C105,0)</f>
        <v>-0.00550259457903062</v>
      </c>
      <c r="D133" s="16" t="n">
        <f aca="false">IFERROR(D132/D105,0)</f>
        <v>0.124153984071909</v>
      </c>
      <c r="E133" s="16" t="n">
        <f aca="false">IFERROR(E132/E105,0)</f>
        <v>0.162167286858185</v>
      </c>
      <c r="F133" s="16" t="n">
        <f aca="false">IFERROR(F132/F105,0)</f>
        <v>0.199754023107914</v>
      </c>
      <c r="G133" s="16" t="n">
        <f aca="false">IFERROR(G132/G105,0)</f>
        <v>0.220835779605115</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139755.968744429</v>
      </c>
      <c r="E136" s="34" t="n">
        <f aca="false">D141</f>
        <v>165984.808024571</v>
      </c>
      <c r="F136" s="34" t="n">
        <f aca="false">E141</f>
        <v>211199.739706097</v>
      </c>
      <c r="G136" s="34" t="n">
        <f aca="false">F141</f>
        <v>280670.011309052</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8104.96874442882</v>
      </c>
      <c r="D138" s="34" t="n">
        <f aca="false">D131</f>
        <v>26228.8392801425</v>
      </c>
      <c r="E138" s="34" t="n">
        <f aca="false">E131</f>
        <v>45214.9316815253</v>
      </c>
      <c r="F138" s="34" t="n">
        <f aca="false">F131</f>
        <v>69470.2716029554</v>
      </c>
      <c r="G138" s="34" t="n">
        <f aca="false">G131</f>
        <v>93668.1002620514</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139755.968744429</v>
      </c>
      <c r="D141" s="36" t="n">
        <f aca="false">D136+D138+D139+D140</f>
        <v>165984.808024571</v>
      </c>
      <c r="E141" s="36" t="n">
        <f aca="false">E136+E138+E139+E140</f>
        <v>211199.739706097</v>
      </c>
      <c r="F141" s="36" t="n">
        <f aca="false">F136+F138+F139+F140</f>
        <v>280670.011309052</v>
      </c>
      <c r="G141" s="36" t="n">
        <f aca="false">G136+G138+G139+G140</f>
        <v>374338.111571103</v>
      </c>
    </row>
    <row r="142" customFormat="false" ht="15" hidden="false" customHeight="true" outlineLevel="0" collapsed="false">
      <c r="A142" s="13" t="s">
        <v>622</v>
      </c>
      <c r="C142" s="34" t="n">
        <f aca="false">MIN(C136-C137,C141)</f>
        <v>131651</v>
      </c>
      <c r="D142" s="34" t="n">
        <f aca="false">MIN(D136-D137,D141)</f>
        <v>139755.968744429</v>
      </c>
      <c r="E142" s="34" t="n">
        <f aca="false">MIN(E136-E137,E141)</f>
        <v>165984.808024571</v>
      </c>
      <c r="F142" s="34" t="n">
        <f aca="false">MIN(F136-F137,F141)</f>
        <v>211199.739706097</v>
      </c>
      <c r="G142" s="34" t="n">
        <f aca="false">MIN(G136-G137,G141)</f>
        <v>280670.011309052</v>
      </c>
    </row>
    <row r="143" customFormat="false" ht="15" hidden="false" customHeight="true" outlineLevel="0" collapsed="false">
      <c r="A143" s="13" t="s">
        <v>623</v>
      </c>
      <c r="C143" s="34" t="n">
        <f aca="false">C142-Inputs!$B$29</f>
        <v>126651</v>
      </c>
      <c r="D143" s="34" t="n">
        <f aca="false">D142-Inputs!$B$29</f>
        <v>134755.968744429</v>
      </c>
      <c r="E143" s="34" t="n">
        <f aca="false">E142-Inputs!$B$29</f>
        <v>160984.808024571</v>
      </c>
      <c r="F143" s="34" t="n">
        <f aca="false">F142-Inputs!$B$29</f>
        <v>206199.739706097</v>
      </c>
      <c r="G143" s="34" t="n">
        <f aca="false">G142-Inputs!$B$29</f>
        <v>275670.011309052</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139755.968744429</v>
      </c>
      <c r="D156" s="34" t="n">
        <f aca="false">D141+SUM($C153:D153)+SUM($C154:D154)-SUM($C155:D155)</f>
        <v>165984.808024571</v>
      </c>
      <c r="E156" s="34" t="n">
        <f aca="false">E141+SUM($C153:E153)+SUM($C154:E154)-SUM($C155:E155)</f>
        <v>211199.739706097</v>
      </c>
      <c r="F156" s="34" t="n">
        <f aca="false">F141+SUM($C153:F153)+SUM($C154:F154)-SUM($C155:F155)</f>
        <v>280670.011309052</v>
      </c>
      <c r="G156" s="34" t="n">
        <f aca="false">G141+SUM($C153:G153)+SUM($C154:G154)-SUM($C155:G155)</f>
        <v>374338.111571103</v>
      </c>
    </row>
    <row r="157" customFormat="false" ht="15" hidden="false" customHeight="true" outlineLevel="0" collapsed="false">
      <c r="A157" s="13" t="s">
        <v>637</v>
      </c>
      <c r="C157" s="34" t="n">
        <f aca="false">MIN(C136-C137+0+C153,C156)</f>
        <v>131651</v>
      </c>
      <c r="D157" s="34" t="n">
        <f aca="false">MIN(D136-D137+SUM($C153:C153)+SUM($C154:C154)-SUM($C155:C155)+D153,D156)</f>
        <v>139755.968744429</v>
      </c>
      <c r="E157" s="34" t="n">
        <f aca="false">MIN(E136-E137+SUM($C153:D153)+SUM($C154:D154)-SUM($C155:D155)+E153,E156)</f>
        <v>165984.808024571</v>
      </c>
      <c r="F157" s="34" t="n">
        <f aca="false">MIN(F136-F137+SUM($C153:E153)+SUM($C154:E154)-SUM($C155:E155)+F153,F156)</f>
        <v>211199.739706097</v>
      </c>
      <c r="G157" s="34" t="n">
        <f aca="false">MIN(G136-G137+SUM($C153:F153)+SUM($C154:F154)-SUM($C155:F155)+G153,G156)</f>
        <v>280670.011309052</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Inputs!$B$19+Inputs!$M$89</f>
        <v>0.12</v>
      </c>
      <c r="G162" s="16" t="n">
        <f aca="false">Inputs!$B$19+Inputs!$M$89</f>
        <v>0.12</v>
      </c>
    </row>
    <row r="163" customFormat="false" ht="15" hidden="false" customHeight="true" outlineLevel="0" collapsed="false">
      <c r="A163" s="13" t="s">
        <v>642</v>
      </c>
      <c r="F163" s="34" t="n">
        <f aca="false">G53*(1-G70)</f>
        <v>67303.6667631001</v>
      </c>
      <c r="G163" s="34" t="n">
        <f aca="false">G109*(1-G126)</f>
        <v>78869.4629676976</v>
      </c>
    </row>
    <row r="164" customFormat="false" ht="15" hidden="false" customHeight="true" outlineLevel="0" collapsed="false">
      <c r="A164" s="13" t="s">
        <v>643</v>
      </c>
      <c r="F164" s="53" t="n">
        <f aca="false">Inputs!$M$87</f>
        <v>30</v>
      </c>
      <c r="G164" s="53" t="n">
        <f aca="false">Inputs!$M$87</f>
        <v>30</v>
      </c>
    </row>
    <row r="165" customFormat="false" ht="15" hidden="false" customHeight="true" outlineLevel="0" collapsed="false">
      <c r="A165" s="13" t="s">
        <v>644</v>
      </c>
      <c r="F165" s="34" t="n">
        <f aca="false">F163*F164</f>
        <v>2019110.002893</v>
      </c>
      <c r="G165" s="34" t="n">
        <f aca="false">G163*G164</f>
        <v>2366083.88903093</v>
      </c>
    </row>
    <row r="166" customFormat="false" ht="15" hidden="false" customHeight="true" outlineLevel="0" collapsed="false">
      <c r="A166" s="13" t="s">
        <v>645</v>
      </c>
      <c r="F166" s="34" t="n">
        <f aca="false">F165*$G$21</f>
        <v>1283180.90912653</v>
      </c>
      <c r="G166" s="34" t="n">
        <f aca="false">G165*$G$21</f>
        <v>1503689.08650156</v>
      </c>
    </row>
    <row r="167" customFormat="false" ht="15" hidden="false" customHeight="true" outlineLevel="0" collapsed="false">
      <c r="A167" s="13" t="s">
        <v>646</v>
      </c>
      <c r="F167" s="34" t="n">
        <f aca="false">SUMPRODUCT(D76:G76,$D$21:$G$21)-F162*SUMPRODUCT(D81:G81,$D$21:$G$21)</f>
        <v>102729.371139619</v>
      </c>
      <c r="G167" s="34" t="n">
        <f aca="false">SUMPRODUCT(D132:G132,$D$21:$G$21)-G162*SUMPRODUCT(D137:G137,$D$21:$G$21)</f>
        <v>115308.652167987</v>
      </c>
    </row>
    <row r="168" customFormat="false" ht="15" hidden="false" customHeight="true" outlineLevel="0" collapsed="false">
      <c r="A168" s="13" t="s">
        <v>647</v>
      </c>
      <c r="F168" s="34" t="n">
        <f aca="false">F166+F167</f>
        <v>1385910.28026615</v>
      </c>
      <c r="G168" s="34" t="n">
        <f aca="false">G166+G167</f>
        <v>1618997.73866955</v>
      </c>
    </row>
    <row r="169" customFormat="false" ht="15" hidden="false" customHeight="true" outlineLevel="0" collapsed="false">
      <c r="A169" s="13" t="s">
        <v>648</v>
      </c>
      <c r="F169" s="34" t="n">
        <f aca="false">(G76-G74)*Inputs!$M$88*$G$21</f>
        <v>1081454.2731567</v>
      </c>
      <c r="G169" s="34" t="n">
        <f aca="false">(G132-G130)*Inputs!$M$88*$G$21</f>
        <v>1265261.53010506</v>
      </c>
    </row>
    <row r="170" customFormat="false" ht="15" hidden="false" customHeight="true" outlineLevel="0" collapsed="false">
      <c r="A170" s="13" t="s">
        <v>649</v>
      </c>
      <c r="F170" s="34" t="n">
        <f aca="false">F167+F169</f>
        <v>1184183.64429632</v>
      </c>
      <c r="G170" s="34" t="n">
        <f aca="false">G167+G169</f>
        <v>1380570.18227304</v>
      </c>
    </row>
    <row r="171" customFormat="false" ht="15" hidden="false" customHeight="true" outlineLevel="0" collapsed="false">
      <c r="A171" s="13" t="s">
        <v>650</v>
      </c>
      <c r="F171" s="34" t="n">
        <f aca="false">F168*Inputs!$B$21+F170*(1-Inputs!$B$21)</f>
        <v>1285046.96228124</v>
      </c>
      <c r="G171" s="34" t="n">
        <f aca="false">G168*Inputs!$B$21+G170*(1-Inputs!$B$21)</f>
        <v>1499783.9604713</v>
      </c>
    </row>
    <row r="172" customFormat="false" ht="15" hidden="false" customHeight="true" outlineLevel="0" collapsed="false">
      <c r="A172" s="13" t="s">
        <v>651</v>
      </c>
      <c r="F172" s="16" t="n">
        <f aca="false">IFERROR(F166/F168,0)</f>
        <v>0.925875886338118</v>
      </c>
      <c r="G172" s="16" t="n">
        <f aca="false">IFERROR(G166/G168,0)</f>
        <v>0.928777755883252</v>
      </c>
    </row>
    <row r="173" customFormat="false" ht="15" hidden="false" customHeight="true" outlineLevel="0" collapsed="false">
      <c r="A173" s="13" t="s">
        <v>652</v>
      </c>
      <c r="F173" s="16" t="n">
        <f aca="false">IFERROR(F169/F170,0)</f>
        <v>0.913248783975003</v>
      </c>
      <c r="G173" s="16" t="n">
        <f aca="false">IFERROR(G169/G170,0)</f>
        <v>0.916477515124848</v>
      </c>
    </row>
    <row r="174" customFormat="false" ht="15" hidden="false" customHeight="true" outlineLevel="0" collapsed="false">
      <c r="A174" s="13" t="s">
        <v>653</v>
      </c>
      <c r="F174" s="34" t="n">
        <f aca="false">C85</f>
        <v>139755.968744429</v>
      </c>
      <c r="G174" s="34" t="n">
        <f aca="false">C141</f>
        <v>139755.968744429</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1424802.93102567</v>
      </c>
      <c r="G176" s="35" t="n">
        <f aca="false">G171+G174+G175</f>
        <v>1639539.92921573</v>
      </c>
    </row>
    <row r="177" customFormat="false" ht="15" hidden="false" customHeight="true" outlineLevel="0" collapsed="false">
      <c r="A177" s="13" t="s">
        <v>656</v>
      </c>
      <c r="F177" s="34" t="n">
        <f aca="false">IF(F182="OK",F176,"unresolved")</f>
        <v>1424802.93102567</v>
      </c>
      <c r="G177" s="34" t="n">
        <f aca="false">IF(G182="OK",G176,"unresolved")</f>
        <v>1639539.92921573</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79.586101634723</v>
      </c>
      <c r="G179" s="25" t="n">
        <f aca="false">IF(G182="OK",G176/G178,"n/a")</f>
        <v>91.5807994210245</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No raise needed</v>
      </c>
      <c r="G183" s="29" t="str">
        <f aca="false">IF(G182&lt;&gt;"OK",G182,IF(G180&gt;0,"Raise needed by 2030",IF(ISNUMBER(G181),"Cash-negative in 2030; runway "&amp;TEXT(G181,"0.0")&amp;" yrs","No raise needed")))</f>
        <v>No raise needed</v>
      </c>
    </row>
    <row r="184" customFormat="false" ht="15" hidden="false" customHeight="true" outlineLevel="0" collapsed="false">
      <c r="A184" s="13" t="s">
        <v>663</v>
      </c>
      <c r="F184" s="25" t="n">
        <f aca="false">IF(NOT(ISNUMBER(F179)),"unresolved",IF(F180=0,F179,(F176+F180/(1+F162)^IF(ISNUMBER(G93),MAX(0,G93-2027),0))/(F178+(F180/(1-Inputs!$B$31))/(F179*(1+F162)^IF(ISNUMBER(G93),MAX(0,G93-2027),0)*(1-0)))))</f>
        <v>79.586101634723</v>
      </c>
      <c r="G184" s="25" t="n">
        <f aca="false">IF(NOT(ISNUMBER(G179)),"unresolved",IF(G180=0,G179,(G176+G180/(1+G162)^IF(ISNUMBER(G149),MAX(0,G149-2027),0))/(G178+(G180/(1-Inputs!$B$31))/(G179*(1+G162)^IF(ISNUMBER(G149),MAX(0,G149-2027),0)*(1-0)))))</f>
        <v>91.5807994210245</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79.586101634723</v>
      </c>
      <c r="G185" s="25" t="n">
        <f aca="false">IF(NOT(ISNUMBER(G179)),"unresolved",IF(G180=0,G179,(G176+G180/(1+G162)^IF(ISNUMBER(G149),MAX(0,G149-2027),0))/(G178+(G180/(1-Inputs!$B$31))/(G179*(1+G162)^IF(ISNUMBER(G149),MAX(0,G149-2027),0)*(1-Inputs!$B$30)))))</f>
        <v>91.5807994210245</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79.586101634723</v>
      </c>
      <c r="G186" s="25" t="n">
        <f aca="false">IF(NOT(ISNUMBER(G179)),"unresolved",IF(G180=0,G179,(G176+G180/(1+G162)^IF(ISNUMBER(G149),MAX(0,G149-2027),0))/(G178+(G180/(1-Inputs!$B$31))/(G179*(1+G162)^IF(ISNUMBER(G149),MAX(0,G149-2027),0)*(1-0.3)))))</f>
        <v>91.5807994210245</v>
      </c>
    </row>
    <row r="187" customFormat="false" ht="15" hidden="false" customHeight="true" outlineLevel="0" collapsed="false">
      <c r="A187" s="13" t="s">
        <v>666</v>
      </c>
      <c r="F187" s="25" t="n">
        <f aca="false">F185</f>
        <v>79.586101634723</v>
      </c>
      <c r="G187" s="25" t="n">
        <f aca="false">G185</f>
        <v>91.5807994210245</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n">
        <f aca="false">IF(ISNUMBER(F187),F187/(1+Inputs!$B$25)^F188,"unresolved")</f>
        <v>79.586101634723</v>
      </c>
      <c r="G189" s="12" t="n">
        <f aca="false">IF(ISNUMBER(G187),G187/(1+Inputs!$B$25)^G188,"unresolved")</f>
        <v>91.5807994210245</v>
      </c>
    </row>
    <row r="190" customFormat="false" ht="15" hidden="false" customHeight="true" outlineLevel="0" collapsed="false">
      <c r="A190" s="13" t="s">
        <v>669</v>
      </c>
      <c r="F190" s="25" t="n">
        <f aca="false">IF(F180=0,F189,"unresolved")</f>
        <v>79.586101634723</v>
      </c>
      <c r="G190" s="25" t="n">
        <f aca="false">IF(G180=0,G189,"unresolved")</f>
        <v>91.5807994210245</v>
      </c>
    </row>
    <row r="191" customFormat="false" ht="15" hidden="false" customHeight="true" outlineLevel="0" collapsed="false">
      <c r="A191" s="13" t="s">
        <v>670</v>
      </c>
      <c r="F191" s="34" t="n">
        <f aca="false">IF(ISNUMBER(F179),F176+F180/(1+F162)^IF(ISNUMBER(G93),MAX(0,G93-2027),0),"unresolved")</f>
        <v>1424802.93102567</v>
      </c>
      <c r="G191" s="34" t="n">
        <f aca="false">IF(ISNUMBER(G179),G176+G180/(1+G162)^IF(ISNUMBER(G149),MAX(0,G149-2027),0),"unresolved")</f>
        <v>1639539.92921573</v>
      </c>
    </row>
    <row r="192" customFormat="false" ht="15" hidden="false" customHeight="true" outlineLevel="0" collapsed="false">
      <c r="A192" s="13" t="s">
        <v>671</v>
      </c>
      <c r="F192" s="28" t="n">
        <f aca="false">IFERROR(F191/D49,"n/a")</f>
        <v>13.1371517576314</v>
      </c>
      <c r="G192" s="28" t="n">
        <f aca="false">IFERROR(G191/D105,"n/a")</f>
        <v>14.8498011055095</v>
      </c>
    </row>
    <row r="193" customFormat="false" ht="15" hidden="false" customHeight="true" outlineLevel="0" collapsed="false">
      <c r="A193" s="13" t="s">
        <v>672</v>
      </c>
      <c r="F193" s="25" t="n">
        <f aca="false">(F168+F174)/F178</f>
        <v>85.2200865891084</v>
      </c>
      <c r="G193" s="25" t="n">
        <f aca="false">(G168+G174)/G178</f>
        <v>98.2397974209202</v>
      </c>
    </row>
    <row r="194" customFormat="false" ht="15" hidden="false" customHeight="true" outlineLevel="0" collapsed="false">
      <c r="A194" s="13" t="s">
        <v>673</v>
      </c>
      <c r="F194" s="25" t="n">
        <f aca="false">(F170+F174)/F178</f>
        <v>73.9521166803376</v>
      </c>
      <c r="G194" s="25" t="n">
        <f aca="false">(G170+G174)/G178</f>
        <v>84.9218014211287</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687</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Historicals!F35+(Inputs!$B$5+Inputs!$N$60)</f>
        <v>54228</v>
      </c>
      <c r="D5" s="34" t="n">
        <f aca="false">C5*(1+Inputs!$N$62)</f>
        <v>108456</v>
      </c>
      <c r="E5" s="34" t="n">
        <f aca="false">D5*(1+Inputs!$N$63)</f>
        <v>168106.8</v>
      </c>
      <c r="F5" s="34" t="n">
        <f aca="false">E5*(1+Inputs!$N$64)</f>
        <v>226944.18</v>
      </c>
      <c r="G5" s="34" t="n">
        <f aca="false">F5*(1+Inputs!$N$65)</f>
        <v>283680.225</v>
      </c>
    </row>
    <row r="6" customFormat="false" ht="15" hidden="false" customHeight="true" outlineLevel="0" collapsed="false">
      <c r="A6" s="13" t="s">
        <v>551</v>
      </c>
      <c r="C6" s="16" t="n">
        <f aca="false">IFERROR(C5/B5-1,0)</f>
        <v>10.8272628135224</v>
      </c>
      <c r="D6" s="16" t="n">
        <f aca="false">IFERROR(D5/C5-1,0)</f>
        <v>1</v>
      </c>
      <c r="E6" s="16" t="n">
        <f aca="false">IFERROR(E5/D5-1,0)</f>
        <v>0.55</v>
      </c>
      <c r="F6" s="16" t="n">
        <f aca="false">IFERROR(F5/E5-1,0)</f>
        <v>0.35</v>
      </c>
      <c r="G6" s="16" t="n">
        <f aca="false">IFERROR(G5/F5-1,0)</f>
        <v>0.25</v>
      </c>
    </row>
    <row r="7" customFormat="false" ht="15" hidden="false" customHeight="true" outlineLevel="0" collapsed="false">
      <c r="A7" s="13" t="s">
        <v>552</v>
      </c>
      <c r="B7" s="41" t="n">
        <f aca="false">Historicals!D51</f>
        <v>789</v>
      </c>
      <c r="C7" s="34" t="n">
        <f aca="false">Historicals!F51+(Inputs!$B$5+Inputs!$N$60)*Historicals!F51/Historicals!F35</f>
        <v>10728.3934667813</v>
      </c>
      <c r="D7" s="34" t="n">
        <f aca="false">D5*Inputs!$N$61</f>
        <v>21691.2</v>
      </c>
      <c r="E7" s="34" t="n">
        <f aca="false">E5*Inputs!$N$61</f>
        <v>33621.36</v>
      </c>
      <c r="F7" s="34" t="n">
        <f aca="false">F5*Inputs!$N$61</f>
        <v>45388.836</v>
      </c>
      <c r="G7" s="34" t="n">
        <f aca="false">G5*Inputs!$N$61</f>
        <v>56736.045</v>
      </c>
    </row>
    <row r="8" customFormat="false" ht="15" hidden="false" customHeight="true" outlineLevel="0" collapsed="false">
      <c r="A8" s="13" t="s">
        <v>553</v>
      </c>
      <c r="B8" s="34" t="n">
        <f aca="false">B5-B7</f>
        <v>3796</v>
      </c>
      <c r="C8" s="34" t="n">
        <f aca="false">C5-C7</f>
        <v>43499.6065332187</v>
      </c>
      <c r="D8" s="34" t="n">
        <f aca="false">D5-D7</f>
        <v>86764.8</v>
      </c>
      <c r="E8" s="34" t="n">
        <f aca="false">E5-E7</f>
        <v>134485.44</v>
      </c>
      <c r="F8" s="34" t="n">
        <f aca="false">F5-F7</f>
        <v>181555.344</v>
      </c>
      <c r="G8" s="34" t="n">
        <f aca="false">G5-G7</f>
        <v>226944.18</v>
      </c>
    </row>
    <row r="10" customFormat="false" ht="15" hidden="false" customHeight="true" outlineLevel="0" collapsed="false">
      <c r="A10" s="13" t="s">
        <v>250</v>
      </c>
      <c r="B10" s="41" t="n">
        <f aca="false">Historicals!D36</f>
        <v>7326</v>
      </c>
      <c r="C10" s="34" t="n">
        <f aca="false">Historicals!F36+(Inputs!$B$5+Inputs!$N$60)*Inputs!$N$66</f>
        <v>26018.9</v>
      </c>
      <c r="D10" s="34" t="n">
        <f aca="false">C10*(1+Inputs!$N$67)</f>
        <v>44232.13</v>
      </c>
      <c r="E10" s="34" t="n">
        <f aca="false">D10*(1+Inputs!$N$68)</f>
        <v>64136.5885</v>
      </c>
      <c r="F10" s="34" t="n">
        <f aca="false">E10*(1+Inputs!$N$69)</f>
        <v>83377.56505</v>
      </c>
      <c r="G10" s="34" t="n">
        <f aca="false">F10*(1+Inputs!$N$70)</f>
        <v>100053.07806</v>
      </c>
    </row>
    <row r="11" customFormat="false" ht="15" hidden="false" customHeight="true" outlineLevel="0" collapsed="false">
      <c r="A11" s="13" t="s">
        <v>251</v>
      </c>
      <c r="B11" s="41" t="n">
        <f aca="false">Historicals!D37</f>
        <v>1839</v>
      </c>
      <c r="C11" s="34" t="n">
        <f aca="false">Historicals!F37+(Inputs!$B$5+Inputs!$N$60)*Historicals!G24</f>
        <v>9249.6455214193</v>
      </c>
      <c r="D11" s="34" t="n">
        <f aca="false">D5*Inputs!$N$71</f>
        <v>15183.84</v>
      </c>
      <c r="E11" s="34" t="n">
        <f aca="false">E5*Inputs!$N$72</f>
        <v>21853.884</v>
      </c>
      <c r="F11" s="34" t="n">
        <f aca="false">F5*Inputs!$N$73</f>
        <v>27233.3016</v>
      </c>
      <c r="G11" s="34" t="n">
        <f aca="false">G5*Inputs!$N$74</f>
        <v>31204.82475</v>
      </c>
    </row>
    <row r="12" customFormat="false" ht="15" hidden="false" customHeight="true" outlineLevel="0" collapsed="false">
      <c r="A12" s="13" t="s">
        <v>554</v>
      </c>
      <c r="B12" s="41" t="n">
        <f aca="false">Historicals!D49</f>
        <v>1158</v>
      </c>
      <c r="C12" s="34" t="n">
        <f aca="false">Historicals!F49+(Inputs!$B$5+Inputs!$N$60)*Historicals!G29</f>
        <v>6325.61981826049</v>
      </c>
      <c r="D12" s="34" t="n">
        <f aca="false">D5*Inputs!$N$75</f>
        <v>9761.04</v>
      </c>
      <c r="E12" s="34" t="n">
        <f aca="false">E5*Inputs!$N$76</f>
        <v>13448.544</v>
      </c>
      <c r="F12" s="34" t="n">
        <f aca="false">F5*Inputs!$N$77</f>
        <v>15886.0926</v>
      </c>
      <c r="G12" s="34" t="n">
        <f aca="false">G5*Inputs!$N$78</f>
        <v>17020.8135</v>
      </c>
    </row>
    <row r="13" customFormat="false" ht="15" hidden="false" customHeight="true" outlineLevel="0" collapsed="false">
      <c r="A13" s="13" t="s">
        <v>555</v>
      </c>
      <c r="B13" s="41" t="n">
        <f aca="false">Historicals!D39</f>
        <v>568</v>
      </c>
      <c r="C13" s="34" t="n">
        <f aca="false">Historicals!F39+(Inputs!$B$5+Inputs!$N$60)*Historicals!G25</f>
        <v>10178.486369537</v>
      </c>
      <c r="D13" s="34" t="n">
        <f aca="false">D5*Inputs!$N$79</f>
        <v>18437.52</v>
      </c>
      <c r="E13" s="34" t="n">
        <f aca="false">E5*Inputs!$N$80</f>
        <v>26897.088</v>
      </c>
      <c r="F13" s="34" t="n">
        <f aca="false">F5*Inputs!$N$81</f>
        <v>34041.627</v>
      </c>
      <c r="G13" s="34" t="n">
        <f aca="false">G5*Inputs!$N$82</f>
        <v>42552.03375</v>
      </c>
    </row>
    <row r="14" customFormat="false" ht="15" hidden="false" customHeight="true" outlineLevel="0" collapsed="false">
      <c r="A14" s="13" t="s">
        <v>556</v>
      </c>
      <c r="B14" s="41" t="n">
        <f aca="false">Historicals!D40</f>
        <v>1412</v>
      </c>
      <c r="C14" s="34" t="n">
        <f aca="false">Historicals!F40+(Inputs!$B$5+Inputs!$N$60)*Historicals!G26</f>
        <v>5099.39177845089</v>
      </c>
      <c r="D14" s="34" t="n">
        <f aca="false">D5*Inputs!$N$83</f>
        <v>8676.48</v>
      </c>
      <c r="E14" s="34" t="n">
        <f aca="false">E5*Inputs!$N$84</f>
        <v>11767.476</v>
      </c>
      <c r="F14" s="34" t="n">
        <f aca="false">F5*Inputs!$N$85</f>
        <v>13616.6508</v>
      </c>
      <c r="G14" s="34" t="n">
        <f aca="false">G5*Inputs!$N$86</f>
        <v>17020.8135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86529.97</v>
      </c>
      <c r="E16" s="36" t="n">
        <f aca="false">E10+E11+E13+E14+E15</f>
        <v>124655.0365</v>
      </c>
      <c r="F16" s="36" t="n">
        <f aca="false">F10+F11+F13+F14+F15</f>
        <v>158269.14445</v>
      </c>
      <c r="G16" s="36" t="n">
        <f aca="false">G10+G11+G13+G14+G15</f>
        <v>190830.75006</v>
      </c>
    </row>
    <row r="17" customFormat="false" ht="15" hidden="false" customHeight="true" outlineLevel="0" collapsed="false">
      <c r="A17" s="10" t="s">
        <v>558</v>
      </c>
      <c r="B17" s="35" t="n">
        <f aca="false">B5-B16</f>
        <v>-8060</v>
      </c>
      <c r="C17" s="35" t="n">
        <f aca="false">C5-C16</f>
        <v>1681.57633059282</v>
      </c>
      <c r="D17" s="35" t="n">
        <f aca="false">D5-D16</f>
        <v>21926.03</v>
      </c>
      <c r="E17" s="35" t="n">
        <f aca="false">E5-E16</f>
        <v>43451.7635</v>
      </c>
      <c r="F17" s="35" t="n">
        <f aca="false">F5-F16</f>
        <v>68675.03555</v>
      </c>
      <c r="G17" s="35" t="n">
        <f aca="false">G5-G16</f>
        <v>92849.4749400001</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0.202165209854688</v>
      </c>
      <c r="E18" s="16" t="n">
        <f aca="false">IFERROR(E17/E5,0)</f>
        <v>0.258477131799546</v>
      </c>
      <c r="F18" s="16" t="n">
        <f aca="false">IFERROR(F17/F5,0)</f>
        <v>0.302607608399563</v>
      </c>
      <c r="G18" s="16" t="n">
        <f aca="false">IFERROR(G17/G5,0)</f>
        <v>0.327303304063581</v>
      </c>
    </row>
    <row r="19" customFormat="false" ht="15" hidden="false" customHeight="true" outlineLevel="0" collapsed="false">
      <c r="A19" s="13" t="s">
        <v>560</v>
      </c>
      <c r="B19" s="16" t="n">
        <f aca="false">IFERROR(B10/B5,0)</f>
        <v>1.59781897491821</v>
      </c>
      <c r="C19" s="16" t="n">
        <f aca="false">IFERROR(C10/C5,0)</f>
        <v>0.479805635465073</v>
      </c>
      <c r="D19" s="16" t="n">
        <f aca="false">IFERROR(D10/D5,0)</f>
        <v>0.407834790145312</v>
      </c>
      <c r="E19" s="16" t="n">
        <f aca="false">IFERROR(E10/E5,0)</f>
        <v>0.381522868200454</v>
      </c>
      <c r="F19" s="16" t="n">
        <f aca="false">IFERROR(F10/F5,0)</f>
        <v>0.367392391600437</v>
      </c>
      <c r="G19" s="16" t="n">
        <f aca="false">IFERROR(G10/G5,0)</f>
        <v>0.352696695936419</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1/(1+Inputs!$B$19+Inputs!$N$89)^1</f>
        <v>0.892857142857143</v>
      </c>
      <c r="E21" s="52" t="n">
        <f aca="false">1/(1+Inputs!$B$19+Inputs!$N$89)^2</f>
        <v>0.79719387755102</v>
      </c>
      <c r="F21" s="52" t="n">
        <f aca="false">1/(1+Inputs!$B$19+Inputs!$N$89)^3</f>
        <v>0.711780247813411</v>
      </c>
      <c r="G21" s="52" t="n">
        <f aca="false">1/(1+Inputs!$B$19+Inputs!$N$89)^4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2169.12</v>
      </c>
      <c r="E25" s="34" t="n">
        <f aca="false">E5*E24</f>
        <v>8405.34</v>
      </c>
      <c r="F25" s="34" t="n">
        <f aca="false">F5*F24</f>
        <v>22694.418</v>
      </c>
      <c r="G25" s="34" t="n">
        <f aca="false">G5*G24</f>
        <v>42552.03375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17352.96</v>
      </c>
      <c r="E27" s="34" t="n">
        <f aca="false">E25*E26</f>
        <v>67242.72</v>
      </c>
      <c r="F27" s="34" t="n">
        <f aca="false">F25*F26</f>
        <v>181555.344</v>
      </c>
      <c r="G27" s="34" t="n">
        <f aca="false">G25*G26</f>
        <v>340416.27</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2602.944</v>
      </c>
      <c r="E29" s="36" t="n">
        <f aca="false">E27*E28</f>
        <v>10086.408</v>
      </c>
      <c r="F29" s="36" t="n">
        <f aca="false">F27*F28</f>
        <v>27233.3016</v>
      </c>
      <c r="G29" s="36" t="n">
        <f aca="false">G27*G28</f>
        <v>51062.4405</v>
      </c>
    </row>
    <row r="30" customFormat="false" ht="15" hidden="false" customHeight="true" outlineLevel="0" collapsed="false">
      <c r="A30" s="13" t="s">
        <v>570</v>
      </c>
      <c r="C30" s="34" t="n">
        <f aca="false">C25*Inputs!$C$103</f>
        <v>0</v>
      </c>
      <c r="D30" s="34" t="n">
        <f aca="false">D25*Inputs!$C$103</f>
        <v>650.736</v>
      </c>
      <c r="E30" s="34" t="n">
        <f aca="false">E25*Inputs!$C$103</f>
        <v>2521.602</v>
      </c>
      <c r="F30" s="34" t="n">
        <f aca="false">F25*Inputs!$C$103</f>
        <v>6808.3254</v>
      </c>
      <c r="G30" s="34" t="n">
        <f aca="false">G25*Inputs!$C$103</f>
        <v>12765.610125</v>
      </c>
    </row>
    <row r="31" customFormat="false" ht="15" hidden="false" customHeight="true" outlineLevel="0" collapsed="false">
      <c r="A31" s="13" t="s">
        <v>571</v>
      </c>
      <c r="C31" s="34" t="n">
        <f aca="false">C29-C30</f>
        <v>0</v>
      </c>
      <c r="D31" s="34" t="n">
        <f aca="false">D29-D30</f>
        <v>1952.208</v>
      </c>
      <c r="E31" s="34" t="n">
        <f aca="false">E29-E30</f>
        <v>7564.806</v>
      </c>
      <c r="F31" s="34" t="n">
        <f aca="false">F29-F30</f>
        <v>20424.9762</v>
      </c>
      <c r="G31" s="34" t="n">
        <f aca="false">G29-G30</f>
        <v>38296.830375</v>
      </c>
    </row>
    <row r="32" customFormat="false" ht="15" hidden="false" customHeight="true" outlineLevel="0" collapsed="false">
      <c r="A32" s="13" t="s">
        <v>572</v>
      </c>
      <c r="C32" s="34" t="n">
        <f aca="false">C29*Inputs!$C$104</f>
        <v>0</v>
      </c>
      <c r="D32" s="34" t="n">
        <f aca="false">D29*Inputs!$C$104</f>
        <v>520.5888</v>
      </c>
      <c r="E32" s="34" t="n">
        <f aca="false">E29*Inputs!$C$104</f>
        <v>2017.2816</v>
      </c>
      <c r="F32" s="34" t="n">
        <f aca="false">F29*Inputs!$C$104</f>
        <v>5446.66032</v>
      </c>
      <c r="G32" s="34" t="n">
        <f aca="false">G29*Inputs!$C$104</f>
        <v>10212.4881</v>
      </c>
    </row>
    <row r="33" customFormat="false" ht="15" hidden="false" customHeight="true" outlineLevel="0" collapsed="false">
      <c r="A33" s="13" t="s">
        <v>573</v>
      </c>
      <c r="C33" s="34" t="n">
        <f aca="false">C29*Inputs!$C$105</f>
        <v>0</v>
      </c>
      <c r="D33" s="34" t="n">
        <f aca="false">D29*Inputs!$C$105</f>
        <v>390.4416</v>
      </c>
      <c r="E33" s="34" t="n">
        <f aca="false">E29*Inputs!$C$105</f>
        <v>1512.9612</v>
      </c>
      <c r="F33" s="34" t="n">
        <f aca="false">F29*Inputs!$C$105</f>
        <v>4084.99524</v>
      </c>
      <c r="G33" s="34" t="n">
        <f aca="false">G29*Inputs!$C$105</f>
        <v>7659.366075</v>
      </c>
    </row>
    <row r="34" customFormat="false" ht="15" hidden="false" customHeight="true" outlineLevel="0" collapsed="false">
      <c r="A34" s="13" t="s">
        <v>574</v>
      </c>
      <c r="C34" s="34" t="n">
        <f aca="false">C29*Inputs!$C$106</f>
        <v>0</v>
      </c>
      <c r="D34" s="34" t="n">
        <f aca="false">D29*Inputs!$C$106</f>
        <v>260.2944</v>
      </c>
      <c r="E34" s="34" t="n">
        <f aca="false">E29*Inputs!$C$106</f>
        <v>1008.6408</v>
      </c>
      <c r="F34" s="34" t="n">
        <f aca="false">F29*Inputs!$C$106</f>
        <v>2723.33016</v>
      </c>
      <c r="G34" s="34" t="n">
        <f aca="false">G29*Inputs!$C$106</f>
        <v>5106.24405</v>
      </c>
    </row>
    <row r="35" customFormat="false" ht="15" hidden="false" customHeight="true" outlineLevel="0" collapsed="false">
      <c r="A35" s="10" t="s">
        <v>575</v>
      </c>
      <c r="C35" s="35" t="n">
        <f aca="false">C29-C30-C32-C33-C34</f>
        <v>0</v>
      </c>
      <c r="D35" s="35" t="n">
        <f aca="false">D29-D30-D32-D33-D34</f>
        <v>780.8832</v>
      </c>
      <c r="E35" s="35" t="n">
        <f aca="false">E29-E30-E32-E33-E34</f>
        <v>3025.9224</v>
      </c>
      <c r="F35" s="35" t="n">
        <f aca="false">F29-F30-F32-F33-F34</f>
        <v>8169.99048</v>
      </c>
      <c r="G35" s="35" t="n">
        <f aca="false">G29-G30-G32-G33-G34</f>
        <v>15318.73215</v>
      </c>
    </row>
    <row r="36" customFormat="false" ht="15" hidden="false" customHeight="true" outlineLevel="0" collapsed="false">
      <c r="A36" s="13" t="s">
        <v>91</v>
      </c>
      <c r="C36" s="54" t="n">
        <f aca="false">IFERROR(C27/Inputs!$B$27,0)</f>
        <v>0</v>
      </c>
      <c r="D36" s="54" t="n">
        <f aca="false">IFERROR(D27/Inputs!$B$27,0)</f>
        <v>0.000433824</v>
      </c>
      <c r="E36" s="54" t="n">
        <f aca="false">IFERROR(E27/Inputs!$B$27,0)</f>
        <v>0.001681068</v>
      </c>
      <c r="F36" s="54" t="n">
        <f aca="false">IFERROR(F27/Inputs!$B$27,0)</f>
        <v>0.0045388836</v>
      </c>
      <c r="G36" s="54" t="n">
        <f aca="false">IFERROR(G27/Inputs!$B$27,0)</f>
        <v>0.00851040675</v>
      </c>
    </row>
    <row r="37" customFormat="false" ht="15" hidden="false" customHeight="true" outlineLevel="0" collapsed="false">
      <c r="A37" s="13" t="s">
        <v>576</v>
      </c>
      <c r="C37" s="34" t="n">
        <f aca="false">CHOOSE(Inputs!$B$35,C31*Inputs!B$55,C29*Inputs!$B$36,0)</f>
        <v>0</v>
      </c>
      <c r="D37" s="34" t="n">
        <f aca="false">CHOOSE(Inputs!$B$35,D31*Inputs!C$55,D29*Inputs!$B$36,0)</f>
        <v>78.08832</v>
      </c>
      <c r="E37" s="34" t="n">
        <f aca="false">CHOOSE(Inputs!$B$35,E31*Inputs!D$55,E29*Inputs!$B$36,0)</f>
        <v>378.2403</v>
      </c>
      <c r="F37" s="34" t="n">
        <f aca="false">CHOOSE(Inputs!$B$35,F31*Inputs!E$55,F29*Inputs!$B$36,0)</f>
        <v>1021.24881</v>
      </c>
      <c r="G37" s="34" t="n">
        <f aca="false">CHOOSE(Inputs!$B$35,G31*Inputs!F$55,G29*Inputs!$B$36,0)</f>
        <v>1914.84151875</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Inputs!$N$92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44232.13</v>
      </c>
      <c r="E44" s="34" t="n">
        <f aca="false">E10*Inputs!$B$39</f>
        <v>64136.5885</v>
      </c>
      <c r="F44" s="34" t="n">
        <f aca="false">F10*Inputs!$B$39</f>
        <v>83377.56505</v>
      </c>
      <c r="G44" s="34" t="n">
        <f aca="false">G10*Inputs!$B$39</f>
        <v>100053.07806</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108456</v>
      </c>
      <c r="E49" s="34" t="n">
        <f aca="false">E5</f>
        <v>168106.8</v>
      </c>
      <c r="F49" s="34" t="n">
        <f aca="false">F5</f>
        <v>226944.18</v>
      </c>
      <c r="G49" s="34" t="n">
        <f aca="false">G5</f>
        <v>283680.225</v>
      </c>
    </row>
    <row r="50" customFormat="false" ht="15" hidden="false" customHeight="true" outlineLevel="0" collapsed="false">
      <c r="A50" s="13" t="s">
        <v>558</v>
      </c>
      <c r="C50" s="34" t="n">
        <f aca="false">C17</f>
        <v>1681.57633059282</v>
      </c>
      <c r="D50" s="34" t="n">
        <f aca="false">D17</f>
        <v>21926.03</v>
      </c>
      <c r="E50" s="34" t="n">
        <f aca="false">E17</f>
        <v>43451.7635</v>
      </c>
      <c r="F50" s="34" t="n">
        <f aca="false">F17</f>
        <v>68675.03555</v>
      </c>
      <c r="G50" s="34" t="n">
        <f aca="false">G17</f>
        <v>92849.4749400001</v>
      </c>
    </row>
    <row r="51" customFormat="false" ht="15" hidden="false" customHeight="true" outlineLevel="0" collapsed="false">
      <c r="A51" s="13" t="s">
        <v>586</v>
      </c>
      <c r="C51" s="34" t="n">
        <f aca="false">C5*Inputs!B$55</f>
        <v>1626.84</v>
      </c>
      <c r="D51" s="34" t="n">
        <f aca="false">D5*Inputs!C$55</f>
        <v>4338.24</v>
      </c>
      <c r="E51" s="34" t="n">
        <f aca="false">E5*Inputs!D$55</f>
        <v>8405.34</v>
      </c>
      <c r="F51" s="34" t="n">
        <f aca="false">F5*Inputs!E$55</f>
        <v>11347.209</v>
      </c>
      <c r="G51" s="34" t="n">
        <f aca="false">G5*Inputs!F$55</f>
        <v>14184.01125</v>
      </c>
    </row>
    <row r="52" customFormat="false" ht="15" hidden="false" customHeight="true" outlineLevel="0" collapsed="false">
      <c r="A52" s="13" t="s">
        <v>587</v>
      </c>
      <c r="C52" s="33" t="n">
        <v>0</v>
      </c>
      <c r="D52" s="34" t="n">
        <f aca="false">SUMPRODUCT($D51:D51,--((4-COLUMN($D51:D51))&lt;Inputs!$B$32))/Inputs!$B$32</f>
        <v>867.648</v>
      </c>
      <c r="E52" s="34" t="n">
        <f aca="false">SUMPRODUCT($D51:E51,--((5-COLUMN($D51:E51))&lt;Inputs!$B$32))/Inputs!$B$32</f>
        <v>2548.716</v>
      </c>
      <c r="F52" s="34" t="n">
        <f aca="false">SUMPRODUCT($D51:F51,--((6-COLUMN($D51:F51))&lt;Inputs!$B$32))/Inputs!$B$32</f>
        <v>4818.1578</v>
      </c>
      <c r="G52" s="34" t="n">
        <f aca="false">SUMPRODUCT($D51:G51,--((7-COLUMN($D51:G51))&lt;Inputs!$B$32))/Inputs!$B$32</f>
        <v>7654.96005</v>
      </c>
    </row>
    <row r="53" customFormat="false" ht="15" hidden="false" customHeight="true" outlineLevel="0" collapsed="false">
      <c r="A53" s="10" t="s">
        <v>588</v>
      </c>
      <c r="C53" s="36" t="n">
        <f aca="false">C50-C52</f>
        <v>1681.57633059282</v>
      </c>
      <c r="D53" s="36" t="n">
        <f aca="false">D50-D52</f>
        <v>21058.382</v>
      </c>
      <c r="E53" s="36" t="n">
        <f aca="false">E50-E52</f>
        <v>40903.0475</v>
      </c>
      <c r="F53" s="36" t="n">
        <f aca="false">F50-F52</f>
        <v>63856.87775</v>
      </c>
      <c r="G53" s="36" t="n">
        <f aca="false">G50-G52</f>
        <v>85194.5148900001</v>
      </c>
    </row>
    <row r="54" customFormat="false" ht="15" hidden="false" customHeight="true" outlineLevel="0" collapsed="false">
      <c r="A54" s="13" t="s">
        <v>589</v>
      </c>
      <c r="C54" s="16" t="n">
        <f aca="false">IFERROR(C53/C49,0)</f>
        <v>0.0310093739505942</v>
      </c>
      <c r="D54" s="16" t="n">
        <f aca="false">IFERROR(D53/D49,0)</f>
        <v>0.194165209854688</v>
      </c>
      <c r="E54" s="16" t="n">
        <f aca="false">IFERROR(E53/E49,0)</f>
        <v>0.243315841476966</v>
      </c>
      <c r="F54" s="16" t="n">
        <f aca="false">IFERROR(F53/F49,0)</f>
        <v>0.28137702297543</v>
      </c>
      <c r="G54" s="16" t="n">
        <f aca="false">IFERROR(G53/G49,0)</f>
        <v>0.300318835724274</v>
      </c>
    </row>
    <row r="55" customFormat="false" ht="15" hidden="false" customHeight="true" outlineLevel="0" collapsed="false">
      <c r="A55" s="13" t="s">
        <v>590</v>
      </c>
      <c r="C55" s="34" t="n">
        <f aca="false">Historicals!F43+C80*Inputs!$B$20/2</f>
        <v>2756.6375</v>
      </c>
      <c r="D55" s="34" t="n">
        <f aca="false">MAX(0,D80-D81)*Inputs!$B$20</f>
        <v>3489.46100478013</v>
      </c>
      <c r="E55" s="34" t="n">
        <f aca="false">MAX(0,E80-E81)*Inputs!$B$20</f>
        <v>4106.99426111976</v>
      </c>
      <c r="F55" s="34" t="n">
        <f aca="false">MAX(0,F80-F81)*Inputs!$B$20</f>
        <v>5140.73054414075</v>
      </c>
      <c r="G55" s="34" t="n">
        <f aca="false">MAX(0,G80-G81)*Inputs!$B$20</f>
        <v>6668.36173465589</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24547.8430047801</v>
      </c>
      <c r="E58" s="34" t="n">
        <f aca="false">E53+E55+E56-E57</f>
        <v>45010.0417611198</v>
      </c>
      <c r="F58" s="34" t="n">
        <f aca="false">F53+F55+F56-F57</f>
        <v>68997.6082941408</v>
      </c>
      <c r="G58" s="34" t="n">
        <f aca="false">G53+G55+G56-G57</f>
        <v>91862.876624656</v>
      </c>
    </row>
    <row r="59" customFormat="false" ht="15" hidden="false" customHeight="true" outlineLevel="0" collapsed="false">
      <c r="A59" s="13" t="s">
        <v>594</v>
      </c>
      <c r="C59" s="34" t="n">
        <f aca="false">C58*Inputs!$B$46</f>
        <v>3195.51395802683</v>
      </c>
      <c r="D59" s="34" t="n">
        <f aca="false">D58*Inputs!$B$46</f>
        <v>17674.4469634417</v>
      </c>
      <c r="E59" s="34" t="n">
        <f aca="false">E58*Inputs!$B$46</f>
        <v>32407.2300680062</v>
      </c>
      <c r="F59" s="34" t="n">
        <f aca="false">F58*Inputs!$B$46</f>
        <v>49678.2779717814</v>
      </c>
      <c r="G59" s="34" t="n">
        <f aca="false">G58*Inputs!$B$46</f>
        <v>66141.2711697523</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191.73083748161</v>
      </c>
      <c r="D63" s="34" t="n">
        <f aca="false">MAX(0,D59-D61)*Inputs!$B$47</f>
        <v>808.466817806501</v>
      </c>
      <c r="E63" s="34" t="n">
        <f aca="false">MAX(0,E59-E61)*Inputs!$B$47</f>
        <v>1944.43380408037</v>
      </c>
      <c r="F63" s="34" t="n">
        <f aca="false">MAX(0,F59-F61)*Inputs!$B$47</f>
        <v>2980.69667830688</v>
      </c>
      <c r="G63" s="34" t="n">
        <f aca="false">MAX(0,G59-G61)*Inputs!$B$47</f>
        <v>3968.47627018514</v>
      </c>
    </row>
    <row r="64" customFormat="false" ht="15" hidden="false" customHeight="true" outlineLevel="0" collapsed="false">
      <c r="A64" s="13" t="s">
        <v>599</v>
      </c>
      <c r="C64" s="34" t="n">
        <f aca="false">C58-C63</f>
        <v>4246.48299311121</v>
      </c>
      <c r="D64" s="34" t="n">
        <f aca="false">D58-D63</f>
        <v>23739.3761869736</v>
      </c>
      <c r="E64" s="34" t="n">
        <f aca="false">E58-E63</f>
        <v>43065.6079570394</v>
      </c>
      <c r="F64" s="34" t="n">
        <f aca="false">F58-F63</f>
        <v>66016.9116158339</v>
      </c>
      <c r="G64" s="34" t="n">
        <f aca="false">G58-G63</f>
        <v>87894.4003544709</v>
      </c>
    </row>
    <row r="65" customFormat="false" ht="15" hidden="false" customHeight="true" outlineLevel="0" collapsed="false">
      <c r="A65" s="13" t="s">
        <v>600</v>
      </c>
      <c r="C65" s="34" t="n">
        <f aca="false">Inputs!$B$44</f>
        <v>8200</v>
      </c>
      <c r="D65" s="34" t="n">
        <f aca="false">C67</f>
        <v>4802.81360551103</v>
      </c>
      <c r="E65" s="34" t="n">
        <f aca="false">D67</f>
        <v>0</v>
      </c>
      <c r="F65" s="34" t="n">
        <f aca="false">E67</f>
        <v>0</v>
      </c>
      <c r="G65" s="34" t="n">
        <f aca="false">F67</f>
        <v>0</v>
      </c>
    </row>
    <row r="66" customFormat="false" ht="15" hidden="false" customHeight="true" outlineLevel="0" collapsed="false">
      <c r="A66" s="13" t="s">
        <v>601</v>
      </c>
      <c r="C66" s="34" t="n">
        <f aca="false">MIN(C65,Inputs!$B$45*MAX(0,C64))</f>
        <v>3397.18639448897</v>
      </c>
      <c r="D66" s="34" t="n">
        <f aca="false">MIN(D65,Inputs!$B$45*MAX(0,D64))</f>
        <v>4802.81360551103</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0</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178.352285710671</v>
      </c>
      <c r="D68" s="34" t="n">
        <f aca="false">MAX(0,D64-D66)*Inputs!$B$43</f>
        <v>3976.67814210715</v>
      </c>
      <c r="E68" s="34" t="n">
        <f aca="false">MAX(0,E64-E66)*Inputs!$B$43</f>
        <v>9043.77767097827</v>
      </c>
      <c r="F68" s="34" t="n">
        <f aca="false">MAX(0,F64-F66)*Inputs!$B$43</f>
        <v>13863.5514393251</v>
      </c>
      <c r="G68" s="34" t="n">
        <f aca="false">MAX(0,G64-G66)*Inputs!$B$43</f>
        <v>18457.8240744389</v>
      </c>
    </row>
    <row r="69" customFormat="false" ht="15" hidden="false" customHeight="true" outlineLevel="0" collapsed="false">
      <c r="A69" s="10" t="s">
        <v>604</v>
      </c>
      <c r="C69" s="36" t="n">
        <f aca="false">IF(Inputs!$N$90=0,MAX(0,C53+C55)*Inputs!B$54,IF(Inputs!$N$90=2,MAX(0,C58)*Inputs!$N$91,C63+C68))</f>
        <v>1109.5534576482</v>
      </c>
      <c r="D69" s="36" t="n">
        <f aca="false">IF(Inputs!$N$90=0,MAX(0,D53+D55)*Inputs!C$54,IF(Inputs!$N$90=2,MAX(0,D58)*Inputs!$N$91,D63+D68))</f>
        <v>6136.96075119503</v>
      </c>
      <c r="E69" s="36" t="n">
        <f aca="false">IF(Inputs!$N$90=0,MAX(0,E53+E55)*Inputs!D$54,IF(Inputs!$N$90=2,MAX(0,E58)*Inputs!$N$91,E63+E68))</f>
        <v>11252.5104402799</v>
      </c>
      <c r="F69" s="36" t="n">
        <f aca="false">IF(Inputs!$N$90=0,MAX(0,F53+F55)*Inputs!E$54,IF(Inputs!$N$90=2,MAX(0,F58)*Inputs!$N$91,F63+F68))</f>
        <v>17249.4020735352</v>
      </c>
      <c r="G69" s="36" t="n">
        <f aca="false">IF(Inputs!$N$90=0,MAX(0,G53+G55)*Inputs!F$54,IF(Inputs!$N$90=2,MAX(0,G58)*Inputs!$N$91,G63+G68))</f>
        <v>22965.719156164</v>
      </c>
    </row>
    <row r="70" customFormat="false" ht="15" hidden="false" customHeight="true" outlineLevel="0" collapsed="false">
      <c r="A70" s="13" t="s">
        <v>605</v>
      </c>
      <c r="C70" s="16" t="n">
        <f aca="false">IF(C58&gt;0,MIN(1,C69/C58),0)</f>
        <v>0.25</v>
      </c>
      <c r="D70" s="16" t="n">
        <f aca="false">IF(D58&gt;0,MIN(1,D69/D58),0)</f>
        <v>0.25</v>
      </c>
      <c r="E70" s="16" t="n">
        <f aca="false">IF(E58&gt;0,MIN(1,E69/E58),0)</f>
        <v>0.25</v>
      </c>
      <c r="F70" s="16" t="n">
        <f aca="false">IF(F58&gt;0,MIN(1,F69/F58),0)</f>
        <v>0.25</v>
      </c>
      <c r="G70" s="16" t="n">
        <f aca="false">IF(G58&gt;0,MIN(1,G69/G58),0)</f>
        <v>0.25</v>
      </c>
    </row>
    <row r="71" customFormat="false" ht="15" hidden="false" customHeight="true" outlineLevel="0" collapsed="false">
      <c r="A71" s="13" t="s">
        <v>606</v>
      </c>
      <c r="C71" s="34" t="n">
        <f aca="false">C53+C55-C69</f>
        <v>3328.66037294461</v>
      </c>
      <c r="D71" s="34" t="n">
        <f aca="false">D53+D55-D69</f>
        <v>18410.8822535851</v>
      </c>
      <c r="E71" s="34" t="n">
        <f aca="false">E53+E55-E69</f>
        <v>33757.5313208398</v>
      </c>
      <c r="F71" s="34" t="n">
        <f aca="false">F53+F55-F69</f>
        <v>51748.2062206056</v>
      </c>
      <c r="G71" s="34" t="n">
        <f aca="false">G53+G55-G69</f>
        <v>68897.157468492</v>
      </c>
    </row>
    <row r="72" customFormat="false" ht="15" hidden="false" customHeight="true" outlineLevel="0" collapsed="false">
      <c r="A72" s="13" t="s">
        <v>607</v>
      </c>
      <c r="C72" s="34" t="n">
        <f aca="false">C12+C20</f>
        <v>8451.61981826049</v>
      </c>
      <c r="D72" s="34" t="n">
        <f aca="false">D12+D20</f>
        <v>9761.04</v>
      </c>
      <c r="E72" s="34" t="n">
        <f aca="false">E12+E20</f>
        <v>13448.544</v>
      </c>
      <c r="F72" s="34" t="n">
        <f aca="false">F12+F20</f>
        <v>15886.0926</v>
      </c>
      <c r="G72" s="34" t="n">
        <f aca="false">G12+G20</f>
        <v>17020.8135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10153.4401912051</v>
      </c>
      <c r="D75" s="36" t="n">
        <f aca="false">D53+D72+D52+D55-D69-D51+D73+D74</f>
        <v>24701.3302535851</v>
      </c>
      <c r="E75" s="36" t="n">
        <f aca="false">E53+E72+E52+E55-E69-E51+E73+E74</f>
        <v>41349.4513208398</v>
      </c>
      <c r="F75" s="36" t="n">
        <f aca="false">F53+F72+F52+F55-F69-F51+F73+F74</f>
        <v>61105.2476206056</v>
      </c>
      <c r="G75" s="36" t="n">
        <f aca="false">G53+G72+G52+G55-G69-G51+G73+G74</f>
        <v>79388.919768492</v>
      </c>
    </row>
    <row r="76" customFormat="false" ht="15" hidden="false" customHeight="true" outlineLevel="0" collapsed="false">
      <c r="A76" s="10" t="s">
        <v>611</v>
      </c>
      <c r="C76" s="36" t="n">
        <f aca="false">C53+C52-(C69-C55*C70)-C51+C73+C74</f>
        <v>-365.657752055385</v>
      </c>
      <c r="D76" s="36" t="n">
        <f aca="false">D53+D52-(D69-D55*D70)-D51+D73+D74</f>
        <v>12323.1945</v>
      </c>
      <c r="E76" s="36" t="n">
        <f aca="false">E53+E52-(E69-E55*E70)-E51+E73+E74</f>
        <v>24820.661625</v>
      </c>
      <c r="F76" s="36" t="n">
        <f aca="false">F53+F52-(F69-F55*F70)-F51+F73+F74</f>
        <v>41363.6071125</v>
      </c>
      <c r="G76" s="36" t="n">
        <f aca="false">G53+G52-(G69-G55*G70)-G51+G73+G74</f>
        <v>57366.8349675001</v>
      </c>
    </row>
    <row r="77" customFormat="false" ht="15" hidden="false" customHeight="true" outlineLevel="0" collapsed="false">
      <c r="A77" s="13" t="s">
        <v>612</v>
      </c>
      <c r="C77" s="16" t="n">
        <f aca="false">IFERROR(C76/C49,0)</f>
        <v>-0.00674296953705439</v>
      </c>
      <c r="D77" s="16" t="n">
        <f aca="false">IFERROR(D76/D49,0)</f>
        <v>0.113623907391016</v>
      </c>
      <c r="E77" s="16" t="n">
        <f aca="false">IFERROR(E76/E49,0)</f>
        <v>0.147648171430305</v>
      </c>
      <c r="F77" s="16" t="n">
        <f aca="false">IFERROR(F76/F49,0)</f>
        <v>0.182263352655706</v>
      </c>
      <c r="G77" s="16" t="n">
        <f aca="false">IFERROR(G76/G49,0)</f>
        <v>0.202223595132513</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139578.440191205</v>
      </c>
      <c r="E80" s="34" t="n">
        <f aca="false">D85</f>
        <v>164279.77044479</v>
      </c>
      <c r="F80" s="34" t="n">
        <f aca="false">E85</f>
        <v>205629.22176563</v>
      </c>
      <c r="G80" s="34" t="n">
        <f aca="false">F85</f>
        <v>266734.469386236</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7927.44019120511</v>
      </c>
      <c r="D82" s="34" t="n">
        <f aca="false">D75</f>
        <v>24701.3302535851</v>
      </c>
      <c r="E82" s="34" t="n">
        <f aca="false">E75</f>
        <v>41349.4513208398</v>
      </c>
      <c r="F82" s="34" t="n">
        <f aca="false">F75</f>
        <v>61105.2476206056</v>
      </c>
      <c r="G82" s="34" t="n">
        <f aca="false">G75</f>
        <v>79388.919768492</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139578.440191205</v>
      </c>
      <c r="D85" s="36" t="n">
        <f aca="false">D80+D82+D83+D84</f>
        <v>164279.77044479</v>
      </c>
      <c r="E85" s="36" t="n">
        <f aca="false">E80+E82+E83+E84</f>
        <v>205629.22176563</v>
      </c>
      <c r="F85" s="36" t="n">
        <f aca="false">F80+F82+F83+F84</f>
        <v>266734.469386236</v>
      </c>
      <c r="G85" s="36" t="n">
        <f aca="false">G80+G82+G83+G84</f>
        <v>346123.389154728</v>
      </c>
    </row>
    <row r="86" customFormat="false" ht="15" hidden="false" customHeight="true" outlineLevel="0" collapsed="false">
      <c r="A86" s="13" t="s">
        <v>622</v>
      </c>
      <c r="C86" s="34" t="n">
        <f aca="false">MIN(C80-C81,C85)</f>
        <v>131651</v>
      </c>
      <c r="D86" s="34" t="n">
        <f aca="false">MIN(D80-D81,D85)</f>
        <v>139578.440191205</v>
      </c>
      <c r="E86" s="34" t="n">
        <f aca="false">MIN(E80-E81,E85)</f>
        <v>164279.77044479</v>
      </c>
      <c r="F86" s="34" t="n">
        <f aca="false">MIN(F80-F81,F85)</f>
        <v>205629.22176563</v>
      </c>
      <c r="G86" s="34" t="n">
        <f aca="false">MIN(G80-G81,G85)</f>
        <v>266734.469386236</v>
      </c>
    </row>
    <row r="87" customFormat="false" ht="15" hidden="false" customHeight="true" outlineLevel="0" collapsed="false">
      <c r="A87" s="13" t="s">
        <v>623</v>
      </c>
      <c r="C87" s="34" t="n">
        <f aca="false">C86-Inputs!$B$29</f>
        <v>126651</v>
      </c>
      <c r="D87" s="34" t="n">
        <f aca="false">D86-Inputs!$B$29</f>
        <v>134578.440191205</v>
      </c>
      <c r="E87" s="34" t="n">
        <f aca="false">E86-Inputs!$B$29</f>
        <v>159279.77044479</v>
      </c>
      <c r="F87" s="34" t="n">
        <f aca="false">F86-Inputs!$B$29</f>
        <v>200629.22176563</v>
      </c>
      <c r="G87" s="34" t="n">
        <f aca="false">G86-Inputs!$B$29</f>
        <v>261734.469386236</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139578.440191205</v>
      </c>
      <c r="D100" s="34" t="n">
        <f aca="false">D85+SUM($C97:D97)+SUM($C98:D98)-SUM($C99:D99)</f>
        <v>164279.77044479</v>
      </c>
      <c r="E100" s="34" t="n">
        <f aca="false">E85+SUM($C97:E97)+SUM($C98:E98)-SUM($C99:E99)</f>
        <v>205629.22176563</v>
      </c>
      <c r="F100" s="34" t="n">
        <f aca="false">F85+SUM($C97:F97)+SUM($C98:F98)-SUM($C99:F99)</f>
        <v>266734.469386236</v>
      </c>
      <c r="G100" s="34" t="n">
        <f aca="false">G85+SUM($C97:G97)+SUM($C98:G98)-SUM($C99:G99)</f>
        <v>346123.389154728</v>
      </c>
    </row>
    <row r="101" customFormat="false" ht="15" hidden="false" customHeight="true" outlineLevel="0" collapsed="false">
      <c r="A101" s="13" t="s">
        <v>637</v>
      </c>
      <c r="C101" s="34" t="n">
        <f aca="false">MIN(C80-C81+0+C97,C100)</f>
        <v>131651</v>
      </c>
      <c r="D101" s="34" t="n">
        <f aca="false">MIN(D80-D81+SUM($C97:C97)+SUM($C98:C98)-SUM($C99:C99)+D97,D100)</f>
        <v>139578.440191205</v>
      </c>
      <c r="E101" s="34" t="n">
        <f aca="false">MIN(E80-E81+SUM($C97:D97)+SUM($C98:D98)-SUM($C99:D99)+E97,E100)</f>
        <v>164279.77044479</v>
      </c>
      <c r="F101" s="34" t="n">
        <f aca="false">MIN(F80-F81+SUM($C97:E97)+SUM($C98:E98)-SUM($C99:E99)+F97,F100)</f>
        <v>205629.22176563</v>
      </c>
      <c r="G101" s="34" t="n">
        <f aca="false">MIN(G80-G81+SUM($C97:F97)+SUM($C98:F98)-SUM($C99:F99)+G97,G100)</f>
        <v>266734.469386236</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110408.208</v>
      </c>
      <c r="E105" s="34" t="n">
        <f aca="false">E5+E31</f>
        <v>175671.606</v>
      </c>
      <c r="F105" s="34" t="n">
        <f aca="false">F5+F31</f>
        <v>247369.1562</v>
      </c>
      <c r="G105" s="34" t="n">
        <f aca="false">G5+G31</f>
        <v>321977.055375</v>
      </c>
    </row>
    <row r="106" customFormat="false" ht="15" hidden="false" customHeight="true" outlineLevel="0" collapsed="false">
      <c r="A106" s="13" t="s">
        <v>558</v>
      </c>
      <c r="C106" s="34" t="n">
        <f aca="false">C17+C35</f>
        <v>1681.57633059282</v>
      </c>
      <c r="D106" s="34" t="n">
        <f aca="false">D17+D35</f>
        <v>22706.9132</v>
      </c>
      <c r="E106" s="34" t="n">
        <f aca="false">E17+E35</f>
        <v>46477.6859</v>
      </c>
      <c r="F106" s="34" t="n">
        <f aca="false">F17+F35</f>
        <v>76845.02603</v>
      </c>
      <c r="G106" s="34" t="n">
        <f aca="false">G17+G35</f>
        <v>108168.20709</v>
      </c>
    </row>
    <row r="107" customFormat="false" ht="15" hidden="false" customHeight="true" outlineLevel="0" collapsed="false">
      <c r="A107" s="13" t="s">
        <v>586</v>
      </c>
      <c r="C107" s="34" t="n">
        <f aca="false">C51+C37</f>
        <v>1626.84</v>
      </c>
      <c r="D107" s="34" t="n">
        <f aca="false">D51+D37</f>
        <v>4416.32832</v>
      </c>
      <c r="E107" s="34" t="n">
        <f aca="false">E51+E37</f>
        <v>8783.5803</v>
      </c>
      <c r="F107" s="34" t="n">
        <f aca="false">F51+F37</f>
        <v>12368.45781</v>
      </c>
      <c r="G107" s="34" t="n">
        <f aca="false">G51+G37</f>
        <v>16098.85276875</v>
      </c>
    </row>
    <row r="108" customFormat="false" ht="15" hidden="false" customHeight="true" outlineLevel="0" collapsed="false">
      <c r="A108" s="13" t="s">
        <v>587</v>
      </c>
      <c r="C108" s="33" t="n">
        <v>0</v>
      </c>
      <c r="D108" s="34" t="n">
        <f aca="false">SUMPRODUCT($D107:D107,--((4-COLUMN($D107:D107))&lt;Inputs!$B$32))/Inputs!$B$32</f>
        <v>883.265664</v>
      </c>
      <c r="E108" s="34" t="n">
        <f aca="false">SUMPRODUCT($D107:E107,--((5-COLUMN($D107:E107))&lt;Inputs!$B$32))/Inputs!$B$32</f>
        <v>2639.981724</v>
      </c>
      <c r="F108" s="34" t="n">
        <f aca="false">SUMPRODUCT($D107:F107,--((6-COLUMN($D107:F107))&lt;Inputs!$B$32))/Inputs!$B$32</f>
        <v>5113.673286</v>
      </c>
      <c r="G108" s="34" t="n">
        <f aca="false">SUMPRODUCT($D107:G107,--((7-COLUMN($D107:G107))&lt;Inputs!$B$32))/Inputs!$B$32</f>
        <v>8333.44383975</v>
      </c>
    </row>
    <row r="109" customFormat="false" ht="15" hidden="false" customHeight="true" outlineLevel="0" collapsed="false">
      <c r="A109" s="10" t="s">
        <v>588</v>
      </c>
      <c r="C109" s="36" t="n">
        <f aca="false">C106-C108</f>
        <v>1681.57633059282</v>
      </c>
      <c r="D109" s="36" t="n">
        <f aca="false">D106-D108</f>
        <v>21823.647536</v>
      </c>
      <c r="E109" s="36" t="n">
        <f aca="false">E106-E108</f>
        <v>43837.704176</v>
      </c>
      <c r="F109" s="36" t="n">
        <f aca="false">F106-F108</f>
        <v>71731.352744</v>
      </c>
      <c r="G109" s="36" t="n">
        <f aca="false">G106-G108</f>
        <v>99834.7632502501</v>
      </c>
    </row>
    <row r="110" customFormat="false" ht="15" hidden="false" customHeight="true" outlineLevel="0" collapsed="false">
      <c r="A110" s="13" t="s">
        <v>589</v>
      </c>
      <c r="C110" s="16" t="n">
        <f aca="false">IFERROR(C109/C105,0)</f>
        <v>0.0310093739505942</v>
      </c>
      <c r="D110" s="16" t="n">
        <f aca="false">IFERROR(D109/D105,0)</f>
        <v>0.1976632709771</v>
      </c>
      <c r="E110" s="16" t="n">
        <f aca="false">IFERROR(E109/E105,0)</f>
        <v>0.249543481580057</v>
      </c>
      <c r="F110" s="16" t="n">
        <f aca="false">IFERROR(F109/F105,0)</f>
        <v>0.289976947190638</v>
      </c>
      <c r="G110" s="16" t="n">
        <f aca="false">IFERROR(G109/G105,0)</f>
        <v>0.310067942990455</v>
      </c>
    </row>
    <row r="111" customFormat="false" ht="15" hidden="false" customHeight="true" outlineLevel="0" collapsed="false">
      <c r="A111" s="13" t="s">
        <v>590</v>
      </c>
      <c r="C111" s="34" t="n">
        <f aca="false">Historicals!F43+C136*Inputs!$B$20/2</f>
        <v>2756.6375</v>
      </c>
      <c r="D111" s="34" t="n">
        <f aca="false">MAX(0,D136-D137)*Inputs!$B$20</f>
        <v>3489.46100478013</v>
      </c>
      <c r="E111" s="34" t="n">
        <f aca="false">MAX(0,E136-E137)*Inputs!$B$20</f>
        <v>4119.78122351976</v>
      </c>
      <c r="F111" s="34" t="n">
        <f aca="false">MAX(0,F136-F137)*Inputs!$B$20</f>
        <v>5201.60771036075</v>
      </c>
      <c r="G111" s="34" t="n">
        <f aca="false">MAX(0,G136-G137)*Inputs!$B$20</f>
        <v>6859.88342078002</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25313.1085407801</v>
      </c>
      <c r="E114" s="34" t="n">
        <f aca="false">E109+E111+E112-E113</f>
        <v>47957.4853995198</v>
      </c>
      <c r="F114" s="34" t="n">
        <f aca="false">F109+F111+F112-F113</f>
        <v>76932.9604543608</v>
      </c>
      <c r="G114" s="34" t="n">
        <f aca="false">G109+G111+G112-G113</f>
        <v>106694.64667103</v>
      </c>
    </row>
    <row r="115" customFormat="false" ht="15" hidden="false" customHeight="true" outlineLevel="0" collapsed="false">
      <c r="A115" s="13" t="s">
        <v>594</v>
      </c>
      <c r="C115" s="34" t="n">
        <f aca="false">C114*Inputs!$B$46</f>
        <v>3195.51395802683</v>
      </c>
      <c r="D115" s="34" t="n">
        <f aca="false">D114*Inputs!$B$46</f>
        <v>18225.4381493617</v>
      </c>
      <c r="E115" s="34" t="n">
        <f aca="false">E114*Inputs!$B$46</f>
        <v>34529.3894876542</v>
      </c>
      <c r="F115" s="34" t="n">
        <f aca="false">F114*Inputs!$B$46</f>
        <v>55391.7315271398</v>
      </c>
      <c r="G115" s="34" t="n">
        <f aca="false">G114*Inputs!$B$46</f>
        <v>76820.1456031417</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191.73083748161</v>
      </c>
      <c r="D119" s="34" t="n">
        <f aca="false">MAX(0,D115-D117)*Inputs!$B$47</f>
        <v>841.526288961702</v>
      </c>
      <c r="E119" s="34" t="n">
        <f aca="false">MAX(0,E115-E117)*Inputs!$B$47</f>
        <v>2071.76336925925</v>
      </c>
      <c r="F119" s="34" t="n">
        <f aca="false">MAX(0,F115-F117)*Inputs!$B$47</f>
        <v>3323.50389162839</v>
      </c>
      <c r="G119" s="34" t="n">
        <f aca="false">MAX(0,G115-G117)*Inputs!$B$47</f>
        <v>4609.2087361885</v>
      </c>
    </row>
    <row r="120" customFormat="false" ht="15" hidden="false" customHeight="true" outlineLevel="0" collapsed="false">
      <c r="A120" s="13" t="s">
        <v>599</v>
      </c>
      <c r="C120" s="34" t="n">
        <f aca="false">C114-C119</f>
        <v>4246.48299311121</v>
      </c>
      <c r="D120" s="34" t="n">
        <f aca="false">D114-D119</f>
        <v>24471.5822518184</v>
      </c>
      <c r="E120" s="34" t="n">
        <f aca="false">E114-E119</f>
        <v>45885.7220302605</v>
      </c>
      <c r="F120" s="34" t="n">
        <f aca="false">F114-F119</f>
        <v>73609.4565627324</v>
      </c>
      <c r="G120" s="34" t="n">
        <f aca="false">G114-G119</f>
        <v>102085.437934842</v>
      </c>
    </row>
    <row r="121" customFormat="false" ht="15" hidden="false" customHeight="true" outlineLevel="0" collapsed="false">
      <c r="A121" s="13" t="s">
        <v>600</v>
      </c>
      <c r="C121" s="34" t="n">
        <f aca="false">Inputs!$B$44</f>
        <v>8200</v>
      </c>
      <c r="D121" s="34" t="n">
        <f aca="false">C123</f>
        <v>4802.81360551103</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3397.18639448897</v>
      </c>
      <c r="D122" s="34" t="n">
        <f aca="false">MIN(D121,Inputs!$B$45*MAX(0,D120))</f>
        <v>4802.81360551103</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178.352285710671</v>
      </c>
      <c r="D124" s="34" t="n">
        <f aca="false">MAX(0,D120-D122)*Inputs!$B$43</f>
        <v>4130.44141572455</v>
      </c>
      <c r="E124" s="34" t="n">
        <f aca="false">MAX(0,E120-E122)*Inputs!$B$43</f>
        <v>9636.00162635471</v>
      </c>
      <c r="F124" s="34" t="n">
        <f aca="false">MAX(0,F120-F122)*Inputs!$B$43</f>
        <v>15457.9858781738</v>
      </c>
      <c r="G124" s="34" t="n">
        <f aca="false">MAX(0,G120-G122)*Inputs!$B$43</f>
        <v>21437.9419663167</v>
      </c>
    </row>
    <row r="125" customFormat="false" ht="15" hidden="false" customHeight="true" outlineLevel="0" collapsed="false">
      <c r="A125" s="10" t="s">
        <v>604</v>
      </c>
      <c r="C125" s="36" t="n">
        <f aca="false">IF(Inputs!$N$90=0,MAX(0,C109+C111)*Inputs!B$54,IF(Inputs!$N$90=2,MAX(0,C114)*Inputs!$N$91,C119+C124))</f>
        <v>1109.5534576482</v>
      </c>
      <c r="D125" s="36" t="n">
        <f aca="false">IF(Inputs!$N$90=0,MAX(0,D109+D111)*Inputs!C$54,IF(Inputs!$N$90=2,MAX(0,D114)*Inputs!$N$91,D119+D124))</f>
        <v>6328.27713519503</v>
      </c>
      <c r="E125" s="36" t="n">
        <f aca="false">IF(Inputs!$N$90=0,MAX(0,E109+E111)*Inputs!D$54,IF(Inputs!$N$90=2,MAX(0,E114)*Inputs!$N$91,E119+E124))</f>
        <v>11989.3713498799</v>
      </c>
      <c r="F125" s="36" t="n">
        <f aca="false">IF(Inputs!$N$90=0,MAX(0,F109+F111)*Inputs!E$54,IF(Inputs!$N$90=2,MAX(0,F114)*Inputs!$N$91,F119+F124))</f>
        <v>19233.2401135902</v>
      </c>
      <c r="G125" s="36" t="n">
        <f aca="false">IF(Inputs!$N$90=0,MAX(0,G109+G111)*Inputs!F$54,IF(Inputs!$N$90=2,MAX(0,G114)*Inputs!$N$91,G119+G124))</f>
        <v>26673.6616677575</v>
      </c>
    </row>
    <row r="126" customFormat="false" ht="15" hidden="false" customHeight="true" outlineLevel="0" collapsed="false">
      <c r="A126" s="13" t="s">
        <v>605</v>
      </c>
      <c r="C126" s="16" t="n">
        <f aca="false">IF(C114&gt;0,MIN(1,C125/C114),0)</f>
        <v>0.25</v>
      </c>
      <c r="D126" s="16" t="n">
        <f aca="false">IF(D114&gt;0,MIN(1,D125/D114),0)</f>
        <v>0.25</v>
      </c>
      <c r="E126" s="16" t="n">
        <f aca="false">IF(E114&gt;0,MIN(1,E125/E114),0)</f>
        <v>0.25</v>
      </c>
      <c r="F126" s="16" t="n">
        <f aca="false">IF(F114&gt;0,MIN(1,F125/F114),0)</f>
        <v>0.25</v>
      </c>
      <c r="G126" s="16" t="n">
        <f aca="false">IF(G114&gt;0,MIN(1,G125/G114),0)</f>
        <v>0.25</v>
      </c>
    </row>
    <row r="127" customFormat="false" ht="15" hidden="false" customHeight="true" outlineLevel="0" collapsed="false">
      <c r="A127" s="13" t="s">
        <v>606</v>
      </c>
      <c r="C127" s="34" t="n">
        <f aca="false">C109+C111-C125</f>
        <v>3328.66037294461</v>
      </c>
      <c r="D127" s="34" t="n">
        <f aca="false">D109+D111-D125</f>
        <v>18984.8314055851</v>
      </c>
      <c r="E127" s="34" t="n">
        <f aca="false">E109+E111-E125</f>
        <v>35968.1140496398</v>
      </c>
      <c r="F127" s="34" t="n">
        <f aca="false">F109+F111-F125</f>
        <v>57699.7203407706</v>
      </c>
      <c r="G127" s="34" t="n">
        <f aca="false">G109+G111-G125</f>
        <v>80020.9850032726</v>
      </c>
    </row>
    <row r="128" customFormat="false" ht="15" hidden="false" customHeight="true" outlineLevel="0" collapsed="false">
      <c r="A128" s="13" t="s">
        <v>607</v>
      </c>
      <c r="C128" s="34" t="n">
        <f aca="false">C12+C20</f>
        <v>8451.61981826049</v>
      </c>
      <c r="D128" s="34" t="n">
        <f aca="false">D12+D20</f>
        <v>9761.04</v>
      </c>
      <c r="E128" s="34" t="n">
        <f aca="false">E12+E20</f>
        <v>13448.544</v>
      </c>
      <c r="F128" s="34" t="n">
        <f aca="false">F12+F20</f>
        <v>15886.0926</v>
      </c>
      <c r="G128" s="34" t="n">
        <f aca="false">G12+G20</f>
        <v>17020.8135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10153.4401912051</v>
      </c>
      <c r="D131" s="36" t="n">
        <f aca="false">D109+D128+D108+D111-D125-D107+D129+D130</f>
        <v>25212.8087495851</v>
      </c>
      <c r="E131" s="36" t="n">
        <f aca="false">E109+E128+E108+E111-E125-E107+E129+E130</f>
        <v>43273.0594736398</v>
      </c>
      <c r="F131" s="36" t="n">
        <f aca="false">F109+F128+F108+F111-F125-F107+F129+F130</f>
        <v>66331.0284167706</v>
      </c>
      <c r="G131" s="36" t="n">
        <f aca="false">G109+G128+G108+G111-G125-G107+G129+G130</f>
        <v>89276.3895742726</v>
      </c>
    </row>
    <row r="132" customFormat="false" ht="15" hidden="false" customHeight="true" outlineLevel="0" collapsed="false">
      <c r="A132" s="10" t="s">
        <v>611</v>
      </c>
      <c r="C132" s="36" t="n">
        <f aca="false">C109+C108-(C125-C111*C126)-C107+C129+C130</f>
        <v>-365.657752055385</v>
      </c>
      <c r="D132" s="36" t="n">
        <f aca="false">D109+D108-(D125-D111*D126)-D107+D129+D130</f>
        <v>12834.672996</v>
      </c>
      <c r="E132" s="36" t="n">
        <f aca="false">E109+E108-(E125-E111*E126)-E107+E129+E130</f>
        <v>26734.679556</v>
      </c>
      <c r="F132" s="36" t="n">
        <f aca="false">F109+F108-(F125-F111*F126)-F107+F129+F130</f>
        <v>46543.730034</v>
      </c>
      <c r="G132" s="36" t="n">
        <f aca="false">G109+G108-(G125-G111*G126)-G107+G129+G130</f>
        <v>67110.6635086876</v>
      </c>
    </row>
    <row r="133" customFormat="false" ht="15" hidden="false" customHeight="true" outlineLevel="0" collapsed="false">
      <c r="A133" s="13" t="s">
        <v>612</v>
      </c>
      <c r="C133" s="16" t="n">
        <f aca="false">IFERROR(C132/C105,0)</f>
        <v>-0.00674296953705439</v>
      </c>
      <c r="D133" s="16" t="n">
        <f aca="false">IFERROR(D132/D105,0)</f>
        <v>0.116247453232825</v>
      </c>
      <c r="E133" s="16" t="n">
        <f aca="false">IFERROR(E132/E105,0)</f>
        <v>0.152185547594982</v>
      </c>
      <c r="F133" s="16" t="n">
        <f aca="false">IFERROR(F132/F105,0)</f>
        <v>0.188154945220289</v>
      </c>
      <c r="G133" s="16" t="n">
        <f aca="false">IFERROR(G132/G105,0)</f>
        <v>0.208433061885497</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139578.440191205</v>
      </c>
      <c r="E136" s="34" t="n">
        <f aca="false">D141</f>
        <v>164791.24894079</v>
      </c>
      <c r="F136" s="34" t="n">
        <f aca="false">E141</f>
        <v>208064.30841443</v>
      </c>
      <c r="G136" s="34" t="n">
        <f aca="false">F141</f>
        <v>274395.336831201</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7927.44019120511</v>
      </c>
      <c r="D138" s="34" t="n">
        <f aca="false">D131</f>
        <v>25212.8087495851</v>
      </c>
      <c r="E138" s="34" t="n">
        <f aca="false">E131</f>
        <v>43273.0594736398</v>
      </c>
      <c r="F138" s="34" t="n">
        <f aca="false">F131</f>
        <v>66331.0284167706</v>
      </c>
      <c r="G138" s="34" t="n">
        <f aca="false">G131</f>
        <v>89276.3895742726</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139578.440191205</v>
      </c>
      <c r="D141" s="36" t="n">
        <f aca="false">D136+D138+D139+D140</f>
        <v>164791.24894079</v>
      </c>
      <c r="E141" s="36" t="n">
        <f aca="false">E136+E138+E139+E140</f>
        <v>208064.30841443</v>
      </c>
      <c r="F141" s="36" t="n">
        <f aca="false">F136+F138+F139+F140</f>
        <v>274395.336831201</v>
      </c>
      <c r="G141" s="36" t="n">
        <f aca="false">G136+G138+G139+G140</f>
        <v>363671.726405473</v>
      </c>
    </row>
    <row r="142" customFormat="false" ht="15" hidden="false" customHeight="true" outlineLevel="0" collapsed="false">
      <c r="A142" s="13" t="s">
        <v>622</v>
      </c>
      <c r="C142" s="34" t="n">
        <f aca="false">MIN(C136-C137,C141)</f>
        <v>131651</v>
      </c>
      <c r="D142" s="34" t="n">
        <f aca="false">MIN(D136-D137,D141)</f>
        <v>139578.440191205</v>
      </c>
      <c r="E142" s="34" t="n">
        <f aca="false">MIN(E136-E137,E141)</f>
        <v>164791.24894079</v>
      </c>
      <c r="F142" s="34" t="n">
        <f aca="false">MIN(F136-F137,F141)</f>
        <v>208064.30841443</v>
      </c>
      <c r="G142" s="34" t="n">
        <f aca="false">MIN(G136-G137,G141)</f>
        <v>274395.336831201</v>
      </c>
    </row>
    <row r="143" customFormat="false" ht="15" hidden="false" customHeight="true" outlineLevel="0" collapsed="false">
      <c r="A143" s="13" t="s">
        <v>623</v>
      </c>
      <c r="C143" s="34" t="n">
        <f aca="false">C142-Inputs!$B$29</f>
        <v>126651</v>
      </c>
      <c r="D143" s="34" t="n">
        <f aca="false">D142-Inputs!$B$29</f>
        <v>134578.440191205</v>
      </c>
      <c r="E143" s="34" t="n">
        <f aca="false">E142-Inputs!$B$29</f>
        <v>159791.24894079</v>
      </c>
      <c r="F143" s="34" t="n">
        <f aca="false">F142-Inputs!$B$29</f>
        <v>203064.30841443</v>
      </c>
      <c r="G143" s="34" t="n">
        <f aca="false">G142-Inputs!$B$29</f>
        <v>269395.336831201</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139578.440191205</v>
      </c>
      <c r="D156" s="34" t="n">
        <f aca="false">D141+SUM($C153:D153)+SUM($C154:D154)-SUM($C155:D155)</f>
        <v>164791.24894079</v>
      </c>
      <c r="E156" s="34" t="n">
        <f aca="false">E141+SUM($C153:E153)+SUM($C154:E154)-SUM($C155:E155)</f>
        <v>208064.30841443</v>
      </c>
      <c r="F156" s="34" t="n">
        <f aca="false">F141+SUM($C153:F153)+SUM($C154:F154)-SUM($C155:F155)</f>
        <v>274395.336831201</v>
      </c>
      <c r="G156" s="34" t="n">
        <f aca="false">G141+SUM($C153:G153)+SUM($C154:G154)-SUM($C155:G155)</f>
        <v>363671.726405473</v>
      </c>
    </row>
    <row r="157" customFormat="false" ht="15" hidden="false" customHeight="true" outlineLevel="0" collapsed="false">
      <c r="A157" s="13" t="s">
        <v>637</v>
      </c>
      <c r="C157" s="34" t="n">
        <f aca="false">MIN(C136-C137+0+C153,C156)</f>
        <v>131651</v>
      </c>
      <c r="D157" s="34" t="n">
        <f aca="false">MIN(D136-D137+SUM($C153:C153)+SUM($C154:C154)-SUM($C155:C155)+D153,D156)</f>
        <v>139578.440191205</v>
      </c>
      <c r="E157" s="34" t="n">
        <f aca="false">MIN(E136-E137+SUM($C153:D153)+SUM($C154:D154)-SUM($C155:D155)+E153,E156)</f>
        <v>164791.24894079</v>
      </c>
      <c r="F157" s="34" t="n">
        <f aca="false">MIN(F136-F137+SUM($C153:E153)+SUM($C154:E154)-SUM($C155:E155)+F153,F156)</f>
        <v>208064.30841443</v>
      </c>
      <c r="G157" s="34" t="n">
        <f aca="false">MIN(G136-G137+SUM($C153:F153)+SUM($C154:F154)-SUM($C155:F155)+G153,G156)</f>
        <v>274395.336831201</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Inputs!$B$19+Inputs!$N$89</f>
        <v>0.12</v>
      </c>
      <c r="G162" s="16" t="n">
        <f aca="false">Inputs!$B$19+Inputs!$N$89</f>
        <v>0.12</v>
      </c>
    </row>
    <row r="163" customFormat="false" ht="15" hidden="false" customHeight="true" outlineLevel="0" collapsed="false">
      <c r="A163" s="13" t="s">
        <v>642</v>
      </c>
      <c r="F163" s="34" t="n">
        <f aca="false">G53*(1-G70)</f>
        <v>63895.8861675001</v>
      </c>
      <c r="G163" s="34" t="n">
        <f aca="false">G109*(1-G126)</f>
        <v>74876.0724376876</v>
      </c>
    </row>
    <row r="164" customFormat="false" ht="15" hidden="false" customHeight="true" outlineLevel="0" collapsed="false">
      <c r="A164" s="13" t="s">
        <v>643</v>
      </c>
      <c r="F164" s="53" t="n">
        <f aca="false">Inputs!$N$87</f>
        <v>30</v>
      </c>
      <c r="G164" s="53" t="n">
        <f aca="false">Inputs!$N$87</f>
        <v>30</v>
      </c>
    </row>
    <row r="165" customFormat="false" ht="15" hidden="false" customHeight="true" outlineLevel="0" collapsed="false">
      <c r="A165" s="13" t="s">
        <v>644</v>
      </c>
      <c r="F165" s="34" t="n">
        <f aca="false">F163*F164</f>
        <v>1916876.585025</v>
      </c>
      <c r="G165" s="34" t="n">
        <f aca="false">G163*G164</f>
        <v>2246282.17313063</v>
      </c>
    </row>
    <row r="166" customFormat="false" ht="15" hidden="false" customHeight="true" outlineLevel="0" collapsed="false">
      <c r="A166" s="13" t="s">
        <v>645</v>
      </c>
      <c r="F166" s="34" t="n">
        <f aca="false">F165*$G$21</f>
        <v>1218209.7238543</v>
      </c>
      <c r="G166" s="34" t="n">
        <f aca="false">G165*$G$21</f>
        <v>1427552.930223</v>
      </c>
    </row>
    <row r="167" customFormat="false" ht="15" hidden="false" customHeight="true" outlineLevel="0" collapsed="false">
      <c r="A167" s="13" t="s">
        <v>646</v>
      </c>
      <c r="F167" s="34" t="n">
        <f aca="false">SUMPRODUCT(D76:G76,$D$21:$G$21)-F162*SUMPRODUCT(D81:G81,$D$21:$G$21)</f>
        <v>96689.190960063</v>
      </c>
      <c r="G167" s="34" t="n">
        <f aca="false">SUMPRODUCT(D132:G132,$D$21:$G$21)-G162*SUMPRODUCT(D137:G137,$D$21:$G$21)</f>
        <v>108551.199932321</v>
      </c>
    </row>
    <row r="168" customFormat="false" ht="15" hidden="false" customHeight="true" outlineLevel="0" collapsed="false">
      <c r="A168" s="13" t="s">
        <v>647</v>
      </c>
      <c r="F168" s="34" t="n">
        <f aca="false">F166+F167</f>
        <v>1314898.91481437</v>
      </c>
      <c r="G168" s="34" t="n">
        <f aca="false">G166+G167</f>
        <v>1536104.13015533</v>
      </c>
    </row>
    <row r="169" customFormat="false" ht="15" hidden="false" customHeight="true" outlineLevel="0" collapsed="false">
      <c r="A169" s="13" t="s">
        <v>648</v>
      </c>
      <c r="F169" s="34" t="n">
        <f aca="false">(G76-G74)*Inputs!$N$88*$G$21</f>
        <v>1020814.50023596</v>
      </c>
      <c r="G169" s="34" t="n">
        <f aca="false">(G132-G130)*Inputs!$N$88*$G$21</f>
        <v>1194201.1175784</v>
      </c>
    </row>
    <row r="170" customFormat="false" ht="15" hidden="false" customHeight="true" outlineLevel="0" collapsed="false">
      <c r="A170" s="13" t="s">
        <v>649</v>
      </c>
      <c r="F170" s="34" t="n">
        <f aca="false">F167+F169</f>
        <v>1117503.69119602</v>
      </c>
      <c r="G170" s="34" t="n">
        <f aca="false">G167+G169</f>
        <v>1302752.31751072</v>
      </c>
    </row>
    <row r="171" customFormat="false" ht="15" hidden="false" customHeight="true" outlineLevel="0" collapsed="false">
      <c r="A171" s="13" t="s">
        <v>650</v>
      </c>
      <c r="F171" s="34" t="n">
        <f aca="false">F168*Inputs!$B$21+F170*(1-Inputs!$B$21)</f>
        <v>1216201.30300519</v>
      </c>
      <c r="G171" s="34" t="n">
        <f aca="false">G168*Inputs!$B$21+G170*(1-Inputs!$B$21)</f>
        <v>1419428.22383302</v>
      </c>
    </row>
    <row r="172" customFormat="false" ht="15" hidden="false" customHeight="true" outlineLevel="0" collapsed="false">
      <c r="A172" s="13" t="s">
        <v>651</v>
      </c>
      <c r="F172" s="16" t="n">
        <f aca="false">IFERROR(F166/F168,0)</f>
        <v>0.926466445541395</v>
      </c>
      <c r="G172" s="16" t="n">
        <f aca="false">IFERROR(G166/G168,0)</f>
        <v>0.929333436580667</v>
      </c>
    </row>
    <row r="173" customFormat="false" ht="15" hidden="false" customHeight="true" outlineLevel="0" collapsed="false">
      <c r="A173" s="13" t="s">
        <v>652</v>
      </c>
      <c r="F173" s="16" t="n">
        <f aca="false">IFERROR(F169/F170,0)</f>
        <v>0.913477519831205</v>
      </c>
      <c r="G173" s="16" t="n">
        <f aca="false">IFERROR(G169/G170,0)</f>
        <v>0.916675488906641</v>
      </c>
    </row>
    <row r="174" customFormat="false" ht="15" hidden="false" customHeight="true" outlineLevel="0" collapsed="false">
      <c r="A174" s="13" t="s">
        <v>653</v>
      </c>
      <c r="F174" s="34" t="n">
        <f aca="false">C85</f>
        <v>139578.440191205</v>
      </c>
      <c r="G174" s="34" t="n">
        <f aca="false">C141</f>
        <v>139578.440191205</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1355779.7431964</v>
      </c>
      <c r="G176" s="35" t="n">
        <f aca="false">G171+G174+G175</f>
        <v>1559006.66402423</v>
      </c>
    </row>
    <row r="177" customFormat="false" ht="15" hidden="false" customHeight="true" outlineLevel="0" collapsed="false">
      <c r="A177" s="13" t="s">
        <v>656</v>
      </c>
      <c r="F177" s="34" t="n">
        <f aca="false">IF(F182="OK",F176,"unresolved")</f>
        <v>1355779.7431964</v>
      </c>
      <c r="G177" s="34" t="n">
        <f aca="false">IF(G182="OK",G176,"unresolved")</f>
        <v>1559006.66402423</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75.7306305922973</v>
      </c>
      <c r="G179" s="25" t="n">
        <f aca="false">IF(G182="OK",G176/G178,"n/a")</f>
        <v>87.0824028435464</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No raise needed</v>
      </c>
      <c r="G183" s="29" t="str">
        <f aca="false">IF(G182&lt;&gt;"OK",G182,IF(G180&gt;0,"Raise needed by 2030",IF(ISNUMBER(G181),"Cash-negative in 2030; runway "&amp;TEXT(G181,"0.0")&amp;" yrs","No raise needed")))</f>
        <v>No raise needed</v>
      </c>
    </row>
    <row r="184" customFormat="false" ht="15" hidden="false" customHeight="true" outlineLevel="0" collapsed="false">
      <c r="A184" s="13" t="s">
        <v>663</v>
      </c>
      <c r="F184" s="25" t="n">
        <f aca="false">IF(NOT(ISNUMBER(F179)),"unresolved",IF(F180=0,F179,(F176+F180/(1+F162)^IF(ISNUMBER(G93),MAX(0,G93-2027),0))/(F178+(F180/(1-Inputs!$B$31))/(F179*(1+F162)^IF(ISNUMBER(G93),MAX(0,G93-2027),0)*(1-0)))))</f>
        <v>75.7306305922973</v>
      </c>
      <c r="G184" s="25" t="n">
        <f aca="false">IF(NOT(ISNUMBER(G179)),"unresolved",IF(G180=0,G179,(G176+G180/(1+G162)^IF(ISNUMBER(G149),MAX(0,G149-2027),0))/(G178+(G180/(1-Inputs!$B$31))/(G179*(1+G162)^IF(ISNUMBER(G149),MAX(0,G149-2027),0)*(1-0)))))</f>
        <v>87.0824028435464</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75.7306305922973</v>
      </c>
      <c r="G185" s="25" t="n">
        <f aca="false">IF(NOT(ISNUMBER(G179)),"unresolved",IF(G180=0,G179,(G176+G180/(1+G162)^IF(ISNUMBER(G149),MAX(0,G149-2027),0))/(G178+(G180/(1-Inputs!$B$31))/(G179*(1+G162)^IF(ISNUMBER(G149),MAX(0,G149-2027),0)*(1-Inputs!$B$30)))))</f>
        <v>87.0824028435464</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75.7306305922973</v>
      </c>
      <c r="G186" s="25" t="n">
        <f aca="false">IF(NOT(ISNUMBER(G179)),"unresolved",IF(G180=0,G179,(G176+G180/(1+G162)^IF(ISNUMBER(G149),MAX(0,G149-2027),0))/(G178+(G180/(1-Inputs!$B$31))/(G179*(1+G162)^IF(ISNUMBER(G149),MAX(0,G149-2027),0)*(1-0.3)))))</f>
        <v>87.0824028435464</v>
      </c>
    </row>
    <row r="187" customFormat="false" ht="15" hidden="false" customHeight="true" outlineLevel="0" collapsed="false">
      <c r="A187" s="13" t="s">
        <v>666</v>
      </c>
      <c r="F187" s="25" t="n">
        <f aca="false">F185</f>
        <v>75.7306305922973</v>
      </c>
      <c r="G187" s="25" t="n">
        <f aca="false">G185</f>
        <v>87.0824028435464</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n">
        <f aca="false">IF(ISNUMBER(F187),F187/(1+Inputs!$B$25)^F188,"unresolved")</f>
        <v>75.7306305922973</v>
      </c>
      <c r="G189" s="12" t="n">
        <f aca="false">IF(ISNUMBER(G187),G187/(1+Inputs!$B$25)^G188,"unresolved")</f>
        <v>87.0824028435464</v>
      </c>
    </row>
    <row r="190" customFormat="false" ht="15" hidden="false" customHeight="true" outlineLevel="0" collapsed="false">
      <c r="A190" s="13" t="s">
        <v>669</v>
      </c>
      <c r="F190" s="25" t="n">
        <f aca="false">IF(F180=0,F189,"unresolved")</f>
        <v>75.7306305922973</v>
      </c>
      <c r="G190" s="25" t="n">
        <f aca="false">IF(G180=0,G189,"unresolved")</f>
        <v>87.0824028435464</v>
      </c>
    </row>
    <row r="191" customFormat="false" ht="15" hidden="false" customHeight="true" outlineLevel="0" collapsed="false">
      <c r="A191" s="13" t="s">
        <v>670</v>
      </c>
      <c r="F191" s="34" t="n">
        <f aca="false">IF(ISNUMBER(F179),F176+F180/(1+F162)^IF(ISNUMBER(G93),MAX(0,G93-2027),0),"unresolved")</f>
        <v>1355779.7431964</v>
      </c>
      <c r="G191" s="34" t="n">
        <f aca="false">IF(ISNUMBER(G179),G176+G180/(1+G162)^IF(ISNUMBER(G149),MAX(0,G149-2027),0),"unresolved")</f>
        <v>1559006.66402423</v>
      </c>
    </row>
    <row r="192" customFormat="false" ht="15" hidden="false" customHeight="true" outlineLevel="0" collapsed="false">
      <c r="A192" s="13" t="s">
        <v>671</v>
      </c>
      <c r="F192" s="28" t="n">
        <f aca="false">IFERROR(F191/D49,"n/a")</f>
        <v>12.5007352585048</v>
      </c>
      <c r="G192" s="28" t="n">
        <f aca="false">IFERROR(G191/D105,"n/a")</f>
        <v>14.1203873540292</v>
      </c>
    </row>
    <row r="193" customFormat="false" ht="15" hidden="false" customHeight="true" outlineLevel="0" collapsed="false">
      <c r="A193" s="13" t="s">
        <v>672</v>
      </c>
      <c r="F193" s="25" t="n">
        <f aca="false">(F168+F174)/F178</f>
        <v>81.2436443526598</v>
      </c>
      <c r="G193" s="25" t="n">
        <f aca="false">(G168+G174)/G178</f>
        <v>93.5996413589147</v>
      </c>
    </row>
    <row r="194" customFormat="false" ht="15" hidden="false" customHeight="true" outlineLevel="0" collapsed="false">
      <c r="A194" s="13" t="s">
        <v>673</v>
      </c>
      <c r="F194" s="25" t="n">
        <f aca="false">(F170+F174)/F178</f>
        <v>70.2176168319348</v>
      </c>
      <c r="G194" s="25" t="n">
        <f aca="false">(G170+G174)/G178</f>
        <v>80.5651643281781</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688</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Historicals!F35+(Inputs!$B$5+Inputs!$O$60)</f>
        <v>54228</v>
      </c>
      <c r="D5" s="34" t="n">
        <f aca="false">C5*(1+Inputs!$O$62)</f>
        <v>108456</v>
      </c>
      <c r="E5" s="34" t="n">
        <f aca="false">D5*(1+Inputs!$O$63)</f>
        <v>168106.8</v>
      </c>
      <c r="F5" s="34" t="n">
        <f aca="false">E5*(1+Inputs!$O$64)</f>
        <v>226944.18</v>
      </c>
      <c r="G5" s="34" t="n">
        <f aca="false">F5*(1+Inputs!$O$65)</f>
        <v>283680.225</v>
      </c>
    </row>
    <row r="6" customFormat="false" ht="15" hidden="false" customHeight="true" outlineLevel="0" collapsed="false">
      <c r="A6" s="13" t="s">
        <v>551</v>
      </c>
      <c r="C6" s="16" t="n">
        <f aca="false">IFERROR(C5/B5-1,0)</f>
        <v>10.8272628135224</v>
      </c>
      <c r="D6" s="16" t="n">
        <f aca="false">IFERROR(D5/C5-1,0)</f>
        <v>1</v>
      </c>
      <c r="E6" s="16" t="n">
        <f aca="false">IFERROR(E5/D5-1,0)</f>
        <v>0.55</v>
      </c>
      <c r="F6" s="16" t="n">
        <f aca="false">IFERROR(F5/E5-1,0)</f>
        <v>0.35</v>
      </c>
      <c r="G6" s="16" t="n">
        <f aca="false">IFERROR(G5/F5-1,0)</f>
        <v>0.25</v>
      </c>
    </row>
    <row r="7" customFormat="false" ht="15" hidden="false" customHeight="true" outlineLevel="0" collapsed="false">
      <c r="A7" s="13" t="s">
        <v>552</v>
      </c>
      <c r="B7" s="41" t="n">
        <f aca="false">Historicals!D51</f>
        <v>789</v>
      </c>
      <c r="C7" s="34" t="n">
        <f aca="false">Historicals!F51+(Inputs!$B$5+Inputs!$O$60)*Historicals!F51/Historicals!F35</f>
        <v>10728.3934667813</v>
      </c>
      <c r="D7" s="34" t="n">
        <f aca="false">D5*Inputs!$O$61</f>
        <v>21691.2</v>
      </c>
      <c r="E7" s="34" t="n">
        <f aca="false">E5*Inputs!$O$61</f>
        <v>33621.36</v>
      </c>
      <c r="F7" s="34" t="n">
        <f aca="false">F5*Inputs!$O$61</f>
        <v>45388.836</v>
      </c>
      <c r="G7" s="34" t="n">
        <f aca="false">G5*Inputs!$O$61</f>
        <v>56736.045</v>
      </c>
    </row>
    <row r="8" customFormat="false" ht="15" hidden="false" customHeight="true" outlineLevel="0" collapsed="false">
      <c r="A8" s="13" t="s">
        <v>553</v>
      </c>
      <c r="B8" s="34" t="n">
        <f aca="false">B5-B7</f>
        <v>3796</v>
      </c>
      <c r="C8" s="34" t="n">
        <f aca="false">C5-C7</f>
        <v>43499.6065332187</v>
      </c>
      <c r="D8" s="34" t="n">
        <f aca="false">D5-D7</f>
        <v>86764.8</v>
      </c>
      <c r="E8" s="34" t="n">
        <f aca="false">E5-E7</f>
        <v>134485.44</v>
      </c>
      <c r="F8" s="34" t="n">
        <f aca="false">F5-F7</f>
        <v>181555.344</v>
      </c>
      <c r="G8" s="34" t="n">
        <f aca="false">G5-G7</f>
        <v>226944.18</v>
      </c>
    </row>
    <row r="10" customFormat="false" ht="15" hidden="false" customHeight="true" outlineLevel="0" collapsed="false">
      <c r="A10" s="13" t="s">
        <v>250</v>
      </c>
      <c r="B10" s="41" t="n">
        <f aca="false">Historicals!D36</f>
        <v>7326</v>
      </c>
      <c r="C10" s="34" t="n">
        <f aca="false">Historicals!F36+(Inputs!$B$5+Inputs!$O$60)*Inputs!$O$66</f>
        <v>26018.9</v>
      </c>
      <c r="D10" s="34" t="n">
        <f aca="false">C10*(1+Inputs!$O$67)</f>
        <v>44232.13</v>
      </c>
      <c r="E10" s="34" t="n">
        <f aca="false">D10*(1+Inputs!$O$68)</f>
        <v>64136.5885</v>
      </c>
      <c r="F10" s="34" t="n">
        <f aca="false">E10*(1+Inputs!$O$69)</f>
        <v>83377.56505</v>
      </c>
      <c r="G10" s="34" t="n">
        <f aca="false">F10*(1+Inputs!$O$70)</f>
        <v>100053.07806</v>
      </c>
    </row>
    <row r="11" customFormat="false" ht="15" hidden="false" customHeight="true" outlineLevel="0" collapsed="false">
      <c r="A11" s="13" t="s">
        <v>251</v>
      </c>
      <c r="B11" s="41" t="n">
        <f aca="false">Historicals!D37</f>
        <v>1839</v>
      </c>
      <c r="C11" s="34" t="n">
        <f aca="false">Historicals!F37+(Inputs!$B$5+Inputs!$O$60)*Historicals!G24</f>
        <v>9249.6455214193</v>
      </c>
      <c r="D11" s="34" t="n">
        <f aca="false">D5*Inputs!$O$71</f>
        <v>15183.84</v>
      </c>
      <c r="E11" s="34" t="n">
        <f aca="false">E5*Inputs!$O$72</f>
        <v>21853.884</v>
      </c>
      <c r="F11" s="34" t="n">
        <f aca="false">F5*Inputs!$O$73</f>
        <v>27233.3016</v>
      </c>
      <c r="G11" s="34" t="n">
        <f aca="false">G5*Inputs!$O$74</f>
        <v>31204.82475</v>
      </c>
    </row>
    <row r="12" customFormat="false" ht="15" hidden="false" customHeight="true" outlineLevel="0" collapsed="false">
      <c r="A12" s="13" t="s">
        <v>554</v>
      </c>
      <c r="B12" s="41" t="n">
        <f aca="false">Historicals!D49</f>
        <v>1158</v>
      </c>
      <c r="C12" s="34" t="n">
        <f aca="false">Historicals!F49+(Inputs!$B$5+Inputs!$O$60)*Historicals!G29</f>
        <v>6325.61981826049</v>
      </c>
      <c r="D12" s="34" t="n">
        <f aca="false">D5*Inputs!$O$75</f>
        <v>9761.04</v>
      </c>
      <c r="E12" s="34" t="n">
        <f aca="false">E5*Inputs!$O$76</f>
        <v>13448.544</v>
      </c>
      <c r="F12" s="34" t="n">
        <f aca="false">F5*Inputs!$O$77</f>
        <v>15886.0926</v>
      </c>
      <c r="G12" s="34" t="n">
        <f aca="false">G5*Inputs!$O$78</f>
        <v>17020.8135</v>
      </c>
    </row>
    <row r="13" customFormat="false" ht="15" hidden="false" customHeight="true" outlineLevel="0" collapsed="false">
      <c r="A13" s="13" t="s">
        <v>555</v>
      </c>
      <c r="B13" s="41" t="n">
        <f aca="false">Historicals!D39</f>
        <v>568</v>
      </c>
      <c r="C13" s="34" t="n">
        <f aca="false">Historicals!F39+(Inputs!$B$5+Inputs!$O$60)*Historicals!G25</f>
        <v>10178.486369537</v>
      </c>
      <c r="D13" s="34" t="n">
        <f aca="false">D5*Inputs!$O$79</f>
        <v>18437.52</v>
      </c>
      <c r="E13" s="34" t="n">
        <f aca="false">E5*Inputs!$O$80</f>
        <v>26897.088</v>
      </c>
      <c r="F13" s="34" t="n">
        <f aca="false">F5*Inputs!$O$81</f>
        <v>34041.627</v>
      </c>
      <c r="G13" s="34" t="n">
        <f aca="false">G5*Inputs!$O$82</f>
        <v>42552.03375</v>
      </c>
    </row>
    <row r="14" customFormat="false" ht="15" hidden="false" customHeight="true" outlineLevel="0" collapsed="false">
      <c r="A14" s="13" t="s">
        <v>556</v>
      </c>
      <c r="B14" s="41" t="n">
        <f aca="false">Historicals!D40</f>
        <v>1412</v>
      </c>
      <c r="C14" s="34" t="n">
        <f aca="false">Historicals!F40+(Inputs!$B$5+Inputs!$O$60)*Historicals!G26</f>
        <v>5099.39177845089</v>
      </c>
      <c r="D14" s="34" t="n">
        <f aca="false">D5*Inputs!$O$83</f>
        <v>8676.48</v>
      </c>
      <c r="E14" s="34" t="n">
        <f aca="false">E5*Inputs!$O$84</f>
        <v>11767.476</v>
      </c>
      <c r="F14" s="34" t="n">
        <f aca="false">F5*Inputs!$O$85</f>
        <v>13616.6508</v>
      </c>
      <c r="G14" s="34" t="n">
        <f aca="false">G5*Inputs!$O$86</f>
        <v>17020.8135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86529.97</v>
      </c>
      <c r="E16" s="36" t="n">
        <f aca="false">E10+E11+E13+E14+E15</f>
        <v>124655.0365</v>
      </c>
      <c r="F16" s="36" t="n">
        <f aca="false">F10+F11+F13+F14+F15</f>
        <v>158269.14445</v>
      </c>
      <c r="G16" s="36" t="n">
        <f aca="false">G10+G11+G13+G14+G15</f>
        <v>190830.75006</v>
      </c>
    </row>
    <row r="17" customFormat="false" ht="15" hidden="false" customHeight="true" outlineLevel="0" collapsed="false">
      <c r="A17" s="10" t="s">
        <v>558</v>
      </c>
      <c r="B17" s="35" t="n">
        <f aca="false">B5-B16</f>
        <v>-8060</v>
      </c>
      <c r="C17" s="35" t="n">
        <f aca="false">C5-C16</f>
        <v>1681.57633059282</v>
      </c>
      <c r="D17" s="35" t="n">
        <f aca="false">D5-D16</f>
        <v>21926.03</v>
      </c>
      <c r="E17" s="35" t="n">
        <f aca="false">E5-E16</f>
        <v>43451.7635</v>
      </c>
      <c r="F17" s="35" t="n">
        <f aca="false">F5-F16</f>
        <v>68675.03555</v>
      </c>
      <c r="G17" s="35" t="n">
        <f aca="false">G5-G16</f>
        <v>92849.4749400001</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0.202165209854688</v>
      </c>
      <c r="E18" s="16" t="n">
        <f aca="false">IFERROR(E17/E5,0)</f>
        <v>0.258477131799546</v>
      </c>
      <c r="F18" s="16" t="n">
        <f aca="false">IFERROR(F17/F5,0)</f>
        <v>0.302607608399563</v>
      </c>
      <c r="G18" s="16" t="n">
        <f aca="false">IFERROR(G17/G5,0)</f>
        <v>0.327303304063581</v>
      </c>
    </row>
    <row r="19" customFormat="false" ht="15" hidden="false" customHeight="true" outlineLevel="0" collapsed="false">
      <c r="A19" s="13" t="s">
        <v>560</v>
      </c>
      <c r="B19" s="16" t="n">
        <f aca="false">IFERROR(B10/B5,0)</f>
        <v>1.59781897491821</v>
      </c>
      <c r="C19" s="16" t="n">
        <f aca="false">IFERROR(C10/C5,0)</f>
        <v>0.479805635465073</v>
      </c>
      <c r="D19" s="16" t="n">
        <f aca="false">IFERROR(D10/D5,0)</f>
        <v>0.407834790145312</v>
      </c>
      <c r="E19" s="16" t="n">
        <f aca="false">IFERROR(E10/E5,0)</f>
        <v>0.381522868200454</v>
      </c>
      <c r="F19" s="16" t="n">
        <f aca="false">IFERROR(F10/F5,0)</f>
        <v>0.367392391600437</v>
      </c>
      <c r="G19" s="16" t="n">
        <f aca="false">IFERROR(G10/G5,0)</f>
        <v>0.352696695936419</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1/(1+Inputs!$B$19+Inputs!$O$89)^1</f>
        <v>0.892857142857143</v>
      </c>
      <c r="E21" s="52" t="n">
        <f aca="false">1/(1+Inputs!$B$19+Inputs!$O$89)^2</f>
        <v>0.79719387755102</v>
      </c>
      <c r="F21" s="52" t="n">
        <f aca="false">1/(1+Inputs!$B$19+Inputs!$O$89)^3</f>
        <v>0.711780247813411</v>
      </c>
      <c r="G21" s="52" t="n">
        <f aca="false">1/(1+Inputs!$B$19+Inputs!$O$89)^4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2169.12</v>
      </c>
      <c r="E25" s="34" t="n">
        <f aca="false">E5*E24</f>
        <v>8405.34</v>
      </c>
      <c r="F25" s="34" t="n">
        <f aca="false">F5*F24</f>
        <v>22694.418</v>
      </c>
      <c r="G25" s="34" t="n">
        <f aca="false">G5*G24</f>
        <v>42552.03375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17352.96</v>
      </c>
      <c r="E27" s="34" t="n">
        <f aca="false">E25*E26</f>
        <v>67242.72</v>
      </c>
      <c r="F27" s="34" t="n">
        <f aca="false">F25*F26</f>
        <v>181555.344</v>
      </c>
      <c r="G27" s="34" t="n">
        <f aca="false">G25*G26</f>
        <v>340416.27</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2602.944</v>
      </c>
      <c r="E29" s="36" t="n">
        <f aca="false">E27*E28</f>
        <v>10086.408</v>
      </c>
      <c r="F29" s="36" t="n">
        <f aca="false">F27*F28</f>
        <v>27233.3016</v>
      </c>
      <c r="G29" s="36" t="n">
        <f aca="false">G27*G28</f>
        <v>51062.4405</v>
      </c>
    </row>
    <row r="30" customFormat="false" ht="15" hidden="false" customHeight="true" outlineLevel="0" collapsed="false">
      <c r="A30" s="13" t="s">
        <v>570</v>
      </c>
      <c r="C30" s="34" t="n">
        <f aca="false">C25*Inputs!$C$103</f>
        <v>0</v>
      </c>
      <c r="D30" s="34" t="n">
        <f aca="false">D25*Inputs!$C$103</f>
        <v>650.736</v>
      </c>
      <c r="E30" s="34" t="n">
        <f aca="false">E25*Inputs!$C$103</f>
        <v>2521.602</v>
      </c>
      <c r="F30" s="34" t="n">
        <f aca="false">F25*Inputs!$C$103</f>
        <v>6808.3254</v>
      </c>
      <c r="G30" s="34" t="n">
        <f aca="false">G25*Inputs!$C$103</f>
        <v>12765.610125</v>
      </c>
    </row>
    <row r="31" customFormat="false" ht="15" hidden="false" customHeight="true" outlineLevel="0" collapsed="false">
      <c r="A31" s="13" t="s">
        <v>571</v>
      </c>
      <c r="C31" s="34" t="n">
        <f aca="false">C29-C30</f>
        <v>0</v>
      </c>
      <c r="D31" s="34" t="n">
        <f aca="false">D29-D30</f>
        <v>1952.208</v>
      </c>
      <c r="E31" s="34" t="n">
        <f aca="false">E29-E30</f>
        <v>7564.806</v>
      </c>
      <c r="F31" s="34" t="n">
        <f aca="false">F29-F30</f>
        <v>20424.9762</v>
      </c>
      <c r="G31" s="34" t="n">
        <f aca="false">G29-G30</f>
        <v>38296.830375</v>
      </c>
    </row>
    <row r="32" customFormat="false" ht="15" hidden="false" customHeight="true" outlineLevel="0" collapsed="false">
      <c r="A32" s="13" t="s">
        <v>572</v>
      </c>
      <c r="C32" s="34" t="n">
        <f aca="false">C29*Inputs!$C$104</f>
        <v>0</v>
      </c>
      <c r="D32" s="34" t="n">
        <f aca="false">D29*Inputs!$C$104</f>
        <v>520.5888</v>
      </c>
      <c r="E32" s="34" t="n">
        <f aca="false">E29*Inputs!$C$104</f>
        <v>2017.2816</v>
      </c>
      <c r="F32" s="34" t="n">
        <f aca="false">F29*Inputs!$C$104</f>
        <v>5446.66032</v>
      </c>
      <c r="G32" s="34" t="n">
        <f aca="false">G29*Inputs!$C$104</f>
        <v>10212.4881</v>
      </c>
    </row>
    <row r="33" customFormat="false" ht="15" hidden="false" customHeight="true" outlineLevel="0" collapsed="false">
      <c r="A33" s="13" t="s">
        <v>573</v>
      </c>
      <c r="C33" s="34" t="n">
        <f aca="false">C29*Inputs!$C$105</f>
        <v>0</v>
      </c>
      <c r="D33" s="34" t="n">
        <f aca="false">D29*Inputs!$C$105</f>
        <v>390.4416</v>
      </c>
      <c r="E33" s="34" t="n">
        <f aca="false">E29*Inputs!$C$105</f>
        <v>1512.9612</v>
      </c>
      <c r="F33" s="34" t="n">
        <f aca="false">F29*Inputs!$C$105</f>
        <v>4084.99524</v>
      </c>
      <c r="G33" s="34" t="n">
        <f aca="false">G29*Inputs!$C$105</f>
        <v>7659.366075</v>
      </c>
    </row>
    <row r="34" customFormat="false" ht="15" hidden="false" customHeight="true" outlineLevel="0" collapsed="false">
      <c r="A34" s="13" t="s">
        <v>574</v>
      </c>
      <c r="C34" s="34" t="n">
        <f aca="false">C29*Inputs!$C$106</f>
        <v>0</v>
      </c>
      <c r="D34" s="34" t="n">
        <f aca="false">D29*Inputs!$C$106</f>
        <v>260.2944</v>
      </c>
      <c r="E34" s="34" t="n">
        <f aca="false">E29*Inputs!$C$106</f>
        <v>1008.6408</v>
      </c>
      <c r="F34" s="34" t="n">
        <f aca="false">F29*Inputs!$C$106</f>
        <v>2723.33016</v>
      </c>
      <c r="G34" s="34" t="n">
        <f aca="false">G29*Inputs!$C$106</f>
        <v>5106.24405</v>
      </c>
    </row>
    <row r="35" customFormat="false" ht="15" hidden="false" customHeight="true" outlineLevel="0" collapsed="false">
      <c r="A35" s="10" t="s">
        <v>575</v>
      </c>
      <c r="C35" s="35" t="n">
        <f aca="false">C29-C30-C32-C33-C34</f>
        <v>0</v>
      </c>
      <c r="D35" s="35" t="n">
        <f aca="false">D29-D30-D32-D33-D34</f>
        <v>780.8832</v>
      </c>
      <c r="E35" s="35" t="n">
        <f aca="false">E29-E30-E32-E33-E34</f>
        <v>3025.9224</v>
      </c>
      <c r="F35" s="35" t="n">
        <f aca="false">F29-F30-F32-F33-F34</f>
        <v>8169.99048</v>
      </c>
      <c r="G35" s="35" t="n">
        <f aca="false">G29-G30-G32-G33-G34</f>
        <v>15318.73215</v>
      </c>
    </row>
    <row r="36" customFormat="false" ht="15" hidden="false" customHeight="true" outlineLevel="0" collapsed="false">
      <c r="A36" s="13" t="s">
        <v>91</v>
      </c>
      <c r="C36" s="54" t="n">
        <f aca="false">IFERROR(C27/Inputs!$B$27,0)</f>
        <v>0</v>
      </c>
      <c r="D36" s="54" t="n">
        <f aca="false">IFERROR(D27/Inputs!$B$27,0)</f>
        <v>0.000433824</v>
      </c>
      <c r="E36" s="54" t="n">
        <f aca="false">IFERROR(E27/Inputs!$B$27,0)</f>
        <v>0.001681068</v>
      </c>
      <c r="F36" s="54" t="n">
        <f aca="false">IFERROR(F27/Inputs!$B$27,0)</f>
        <v>0.0045388836</v>
      </c>
      <c r="G36" s="54" t="n">
        <f aca="false">IFERROR(G27/Inputs!$B$27,0)</f>
        <v>0.00851040675</v>
      </c>
    </row>
    <row r="37" customFormat="false" ht="15" hidden="false" customHeight="true" outlineLevel="0" collapsed="false">
      <c r="A37" s="13" t="s">
        <v>576</v>
      </c>
      <c r="C37" s="34" t="n">
        <f aca="false">CHOOSE(Inputs!$B$35,C31*Inputs!B$55,C29*Inputs!$B$36,0)</f>
        <v>0</v>
      </c>
      <c r="D37" s="34" t="n">
        <f aca="false">CHOOSE(Inputs!$B$35,D31*Inputs!C$55,D29*Inputs!$B$36,0)</f>
        <v>78.08832</v>
      </c>
      <c r="E37" s="34" t="n">
        <f aca="false">CHOOSE(Inputs!$B$35,E31*Inputs!D$55,E29*Inputs!$B$36,0)</f>
        <v>378.2403</v>
      </c>
      <c r="F37" s="34" t="n">
        <f aca="false">CHOOSE(Inputs!$B$35,F31*Inputs!E$55,F29*Inputs!$B$36,0)</f>
        <v>1021.24881</v>
      </c>
      <c r="G37" s="34" t="n">
        <f aca="false">CHOOSE(Inputs!$B$35,G31*Inputs!F$55,G29*Inputs!$B$36,0)</f>
        <v>1914.84151875</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0</v>
      </c>
      <c r="F41" s="34" t="n">
        <f aca="false">E46</f>
        <v>0</v>
      </c>
      <c r="G41" s="34" t="n">
        <f aca="false">F46</f>
        <v>0</v>
      </c>
    </row>
    <row r="42" customFormat="false" ht="15" hidden="false" customHeight="true" outlineLevel="0" collapsed="false">
      <c r="A42" s="13" t="s">
        <v>580</v>
      </c>
      <c r="C42" s="33" t="n">
        <v>0</v>
      </c>
      <c r="D42" s="34" t="n">
        <f aca="false">Inputs!$O$92</f>
        <v>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0</v>
      </c>
      <c r="F43" s="34" t="n">
        <f aca="false">MAX(0,$D$42/Inputs!$B$40*MIN(2,Inputs!$B$40)-SUM($C45:E45))</f>
        <v>0</v>
      </c>
      <c r="G43" s="34" t="n">
        <f aca="false">MAX(0,$D$42/Inputs!$B$40*MIN(3,Inputs!$B$40)-SUM($C45:F45))</f>
        <v>0</v>
      </c>
    </row>
    <row r="44" customFormat="false" ht="15" hidden="false" customHeight="true" outlineLevel="0" collapsed="false">
      <c r="A44" s="13" t="s">
        <v>582</v>
      </c>
      <c r="C44" s="34" t="n">
        <f aca="false">C10*Inputs!$B$39</f>
        <v>26018.9</v>
      </c>
      <c r="D44" s="34" t="n">
        <f aca="false">D10*Inputs!$B$39</f>
        <v>44232.13</v>
      </c>
      <c r="E44" s="34" t="n">
        <f aca="false">E10*Inputs!$B$39</f>
        <v>64136.5885</v>
      </c>
      <c r="F44" s="34" t="n">
        <f aca="false">F10*Inputs!$B$39</f>
        <v>83377.56505</v>
      </c>
      <c r="G44" s="34" t="n">
        <f aca="false">G10*Inputs!$B$39</f>
        <v>100053.07806</v>
      </c>
    </row>
    <row r="45" customFormat="false" ht="15" hidden="false" customHeight="true" outlineLevel="0" collapsed="false">
      <c r="A45" s="10" t="s">
        <v>583</v>
      </c>
      <c r="C45" s="36" t="n">
        <f aca="false">MAX(0,MIN(C41+C42,C43,C44))</f>
        <v>0</v>
      </c>
      <c r="D45" s="36" t="n">
        <f aca="false">MAX(0,MIN(D41+D42,D43,D44))</f>
        <v>0</v>
      </c>
      <c r="E45" s="36" t="n">
        <f aca="false">MAX(0,MIN(E41+E42,E43,E44))</f>
        <v>0</v>
      </c>
      <c r="F45" s="36" t="n">
        <f aca="false">MAX(0,MIN(F41+F42,F43,F44))</f>
        <v>0</v>
      </c>
      <c r="G45" s="36" t="n">
        <f aca="false">MAX(0,MIN(G41+G42,G43,G44))</f>
        <v>0</v>
      </c>
    </row>
    <row r="46" customFormat="false" ht="15" hidden="false" customHeight="true" outlineLevel="0" collapsed="false">
      <c r="A46" s="10" t="s">
        <v>584</v>
      </c>
      <c r="C46" s="36" t="n">
        <f aca="false">C41+C42-C45</f>
        <v>0</v>
      </c>
      <c r="D46" s="36" t="n">
        <f aca="false">D41+D42-D45</f>
        <v>0</v>
      </c>
      <c r="E46" s="36" t="n">
        <f aca="false">E41+E42-E45</f>
        <v>0</v>
      </c>
      <c r="F46" s="36" t="n">
        <f aca="false">F41+F42-F45</f>
        <v>0</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108456</v>
      </c>
      <c r="E49" s="34" t="n">
        <f aca="false">E5</f>
        <v>168106.8</v>
      </c>
      <c r="F49" s="34" t="n">
        <f aca="false">F5</f>
        <v>226944.18</v>
      </c>
      <c r="G49" s="34" t="n">
        <f aca="false">G5</f>
        <v>283680.225</v>
      </c>
    </row>
    <row r="50" customFormat="false" ht="15" hidden="false" customHeight="true" outlineLevel="0" collapsed="false">
      <c r="A50" s="13" t="s">
        <v>558</v>
      </c>
      <c r="C50" s="34" t="n">
        <f aca="false">C17</f>
        <v>1681.57633059282</v>
      </c>
      <c r="D50" s="34" t="n">
        <f aca="false">D17</f>
        <v>21926.03</v>
      </c>
      <c r="E50" s="34" t="n">
        <f aca="false">E17</f>
        <v>43451.7635</v>
      </c>
      <c r="F50" s="34" t="n">
        <f aca="false">F17</f>
        <v>68675.03555</v>
      </c>
      <c r="G50" s="34" t="n">
        <f aca="false">G17</f>
        <v>92849.4749400001</v>
      </c>
    </row>
    <row r="51" customFormat="false" ht="15" hidden="false" customHeight="true" outlineLevel="0" collapsed="false">
      <c r="A51" s="13" t="s">
        <v>586</v>
      </c>
      <c r="C51" s="34" t="n">
        <f aca="false">C5*Inputs!B$55</f>
        <v>1626.84</v>
      </c>
      <c r="D51" s="34" t="n">
        <f aca="false">D5*Inputs!C$55</f>
        <v>4338.24</v>
      </c>
      <c r="E51" s="34" t="n">
        <f aca="false">E5*Inputs!D$55</f>
        <v>8405.34</v>
      </c>
      <c r="F51" s="34" t="n">
        <f aca="false">F5*Inputs!E$55</f>
        <v>11347.209</v>
      </c>
      <c r="G51" s="34" t="n">
        <f aca="false">G5*Inputs!F$55</f>
        <v>14184.01125</v>
      </c>
    </row>
    <row r="52" customFormat="false" ht="15" hidden="false" customHeight="true" outlineLevel="0" collapsed="false">
      <c r="A52" s="13" t="s">
        <v>587</v>
      </c>
      <c r="C52" s="33" t="n">
        <v>0</v>
      </c>
      <c r="D52" s="34" t="n">
        <f aca="false">SUMPRODUCT($D51:D51,--((4-COLUMN($D51:D51))&lt;Inputs!$B$32))/Inputs!$B$32</f>
        <v>867.648</v>
      </c>
      <c r="E52" s="34" t="n">
        <f aca="false">SUMPRODUCT($D51:E51,--((5-COLUMN($D51:E51))&lt;Inputs!$B$32))/Inputs!$B$32</f>
        <v>2548.716</v>
      </c>
      <c r="F52" s="34" t="n">
        <f aca="false">SUMPRODUCT($D51:F51,--((6-COLUMN($D51:F51))&lt;Inputs!$B$32))/Inputs!$B$32</f>
        <v>4818.1578</v>
      </c>
      <c r="G52" s="34" t="n">
        <f aca="false">SUMPRODUCT($D51:G51,--((7-COLUMN($D51:G51))&lt;Inputs!$B$32))/Inputs!$B$32</f>
        <v>7654.96005</v>
      </c>
    </row>
    <row r="53" customFormat="false" ht="15" hidden="false" customHeight="true" outlineLevel="0" collapsed="false">
      <c r="A53" s="10" t="s">
        <v>588</v>
      </c>
      <c r="C53" s="36" t="n">
        <f aca="false">C50-C52</f>
        <v>1681.57633059282</v>
      </c>
      <c r="D53" s="36" t="n">
        <f aca="false">D50-D52</f>
        <v>21058.382</v>
      </c>
      <c r="E53" s="36" t="n">
        <f aca="false">E50-E52</f>
        <v>40903.0475</v>
      </c>
      <c r="F53" s="36" t="n">
        <f aca="false">F50-F52</f>
        <v>63856.87775</v>
      </c>
      <c r="G53" s="36" t="n">
        <f aca="false">G50-G52</f>
        <v>85194.5148900001</v>
      </c>
    </row>
    <row r="54" customFormat="false" ht="15" hidden="false" customHeight="true" outlineLevel="0" collapsed="false">
      <c r="A54" s="13" t="s">
        <v>589</v>
      </c>
      <c r="C54" s="16" t="n">
        <f aca="false">IFERROR(C53/C49,0)</f>
        <v>0.0310093739505942</v>
      </c>
      <c r="D54" s="16" t="n">
        <f aca="false">IFERROR(D53/D49,0)</f>
        <v>0.194165209854688</v>
      </c>
      <c r="E54" s="16" t="n">
        <f aca="false">IFERROR(E53/E49,0)</f>
        <v>0.243315841476966</v>
      </c>
      <c r="F54" s="16" t="n">
        <f aca="false">IFERROR(F53/F49,0)</f>
        <v>0.28137702297543</v>
      </c>
      <c r="G54" s="16" t="n">
        <f aca="false">IFERROR(G53/G49,0)</f>
        <v>0.300318835724274</v>
      </c>
    </row>
    <row r="55" customFormat="false" ht="15" hidden="false" customHeight="true" outlineLevel="0" collapsed="false">
      <c r="A55" s="13" t="s">
        <v>590</v>
      </c>
      <c r="C55" s="34" t="n">
        <f aca="false">Historicals!F43+C80*Inputs!$B$20/2</f>
        <v>2756.6375</v>
      </c>
      <c r="D55" s="34" t="n">
        <f aca="false">MAX(0,D80-D81)*Inputs!$B$20</f>
        <v>3486.13234440718</v>
      </c>
      <c r="E55" s="34" t="n">
        <f aca="false">MAX(0,E80-E81)*Inputs!$B$20</f>
        <v>4085.19480260651</v>
      </c>
      <c r="F55" s="34" t="n">
        <f aca="false">MAX(0,F80-F81)*Inputs!$B$20</f>
        <v>5084.78116405343</v>
      </c>
      <c r="G55" s="34" t="n">
        <f aca="false">MAX(0,G80-G81)*Inputs!$B$20</f>
        <v>6559.65705950639</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24544.5143444072</v>
      </c>
      <c r="E58" s="34" t="n">
        <f aca="false">E53+E55+E56-E57</f>
        <v>44988.2423026065</v>
      </c>
      <c r="F58" s="34" t="n">
        <f aca="false">F53+F55+F56-F57</f>
        <v>68941.6589140535</v>
      </c>
      <c r="G58" s="34" t="n">
        <f aca="false">G53+G55+G56-G57</f>
        <v>91754.1719495065</v>
      </c>
    </row>
    <row r="59" customFormat="false" ht="15" hidden="false" customHeight="true" outlineLevel="0" collapsed="false">
      <c r="A59" s="13" t="s">
        <v>594</v>
      </c>
      <c r="C59" s="34" t="n">
        <f aca="false">C58*Inputs!$B$46</f>
        <v>3195.51395802683</v>
      </c>
      <c r="D59" s="34" t="n">
        <f aca="false">D58*Inputs!$B$46</f>
        <v>17672.0503279732</v>
      </c>
      <c r="E59" s="34" t="n">
        <f aca="false">E58*Inputs!$B$46</f>
        <v>32391.5344578767</v>
      </c>
      <c r="F59" s="34" t="n">
        <f aca="false">F58*Inputs!$B$46</f>
        <v>49637.9944181185</v>
      </c>
      <c r="G59" s="34" t="n">
        <f aca="false">G58*Inputs!$B$46</f>
        <v>66063.0038036447</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191.73083748161</v>
      </c>
      <c r="D63" s="34" t="n">
        <f aca="false">MAX(0,D59-D61)*Inputs!$B$47</f>
        <v>808.32301967839</v>
      </c>
      <c r="E63" s="34" t="n">
        <f aca="false">MAX(0,E59-E61)*Inputs!$B$47</f>
        <v>1943.4920674726</v>
      </c>
      <c r="F63" s="34" t="n">
        <f aca="false">MAX(0,F59-F61)*Inputs!$B$47</f>
        <v>2978.27966508711</v>
      </c>
      <c r="G63" s="34" t="n">
        <f aca="false">MAX(0,G59-G61)*Inputs!$B$47</f>
        <v>3963.78022821868</v>
      </c>
    </row>
    <row r="64" customFormat="false" ht="15" hidden="false" customHeight="true" outlineLevel="0" collapsed="false">
      <c r="A64" s="13" t="s">
        <v>599</v>
      </c>
      <c r="C64" s="34" t="n">
        <f aca="false">C58-C63</f>
        <v>4246.48299311121</v>
      </c>
      <c r="D64" s="34" t="n">
        <f aca="false">D58-D63</f>
        <v>23736.1913247288</v>
      </c>
      <c r="E64" s="34" t="n">
        <f aca="false">E58-E63</f>
        <v>43044.7502351339</v>
      </c>
      <c r="F64" s="34" t="n">
        <f aca="false">F58-F63</f>
        <v>65963.3792489664</v>
      </c>
      <c r="G64" s="34" t="n">
        <f aca="false">G58-G63</f>
        <v>87790.3917212878</v>
      </c>
    </row>
    <row r="65" customFormat="false" ht="15" hidden="false" customHeight="true" outlineLevel="0" collapsed="false">
      <c r="A65" s="13" t="s">
        <v>600</v>
      </c>
      <c r="C65" s="34" t="n">
        <f aca="false">Inputs!$B$44</f>
        <v>8200</v>
      </c>
      <c r="D65" s="34" t="n">
        <f aca="false">C67</f>
        <v>4802.81360551103</v>
      </c>
      <c r="E65" s="34" t="n">
        <f aca="false">D67</f>
        <v>0</v>
      </c>
      <c r="F65" s="34" t="n">
        <f aca="false">E67</f>
        <v>0</v>
      </c>
      <c r="G65" s="34" t="n">
        <f aca="false">F67</f>
        <v>0</v>
      </c>
    </row>
    <row r="66" customFormat="false" ht="15" hidden="false" customHeight="true" outlineLevel="0" collapsed="false">
      <c r="A66" s="13" t="s">
        <v>601</v>
      </c>
      <c r="C66" s="34" t="n">
        <f aca="false">MIN(C65,Inputs!$B$45*MAX(0,C64))</f>
        <v>3397.18639448897</v>
      </c>
      <c r="D66" s="34" t="n">
        <f aca="false">MIN(D65,Inputs!$B$45*MAX(0,D64))</f>
        <v>4802.81360551103</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0</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178.352285710671</v>
      </c>
      <c r="D68" s="34" t="n">
        <f aca="false">MAX(0,D64-D66)*Inputs!$B$43</f>
        <v>3976.00932103573</v>
      </c>
      <c r="E68" s="34" t="n">
        <f aca="false">MAX(0,E64-E66)*Inputs!$B$43</f>
        <v>9039.39754937812</v>
      </c>
      <c r="F68" s="34" t="n">
        <f aca="false">MAX(0,F64-F66)*Inputs!$B$43</f>
        <v>13852.3096422829</v>
      </c>
      <c r="G68" s="34" t="n">
        <f aca="false">MAX(0,G64-G66)*Inputs!$B$43</f>
        <v>18435.9822614704</v>
      </c>
    </row>
    <row r="69" customFormat="false" ht="15" hidden="false" customHeight="true" outlineLevel="0" collapsed="false">
      <c r="A69" s="10" t="s">
        <v>604</v>
      </c>
      <c r="C69" s="36" t="n">
        <f aca="false">IF(Inputs!$O$90=0,MAX(0,C53+C55)*Inputs!B$54,IF(Inputs!$O$90=2,MAX(0,C58)*Inputs!$O$91,C63+C68))</f>
        <v>1242.69987256599</v>
      </c>
      <c r="D69" s="36" t="n">
        <f aca="false">IF(Inputs!$O$90=0,MAX(0,D53+D55)*Inputs!C$54,IF(Inputs!$O$90=2,MAX(0,D58)*Inputs!$O$91,D63+D68))</f>
        <v>6872.46401643401</v>
      </c>
      <c r="E69" s="36" t="n">
        <f aca="false">IF(Inputs!$O$90=0,MAX(0,E53+E55)*Inputs!D$54,IF(Inputs!$O$90=2,MAX(0,E58)*Inputs!$O$91,E63+E68))</f>
        <v>12596.7078447298</v>
      </c>
      <c r="F69" s="36" t="n">
        <f aca="false">IF(Inputs!$O$90=0,MAX(0,F53+F55)*Inputs!E$54,IF(Inputs!$O$90=2,MAX(0,F58)*Inputs!$O$91,F63+F68))</f>
        <v>19303.664495935</v>
      </c>
      <c r="G69" s="36" t="n">
        <f aca="false">IF(Inputs!$O$90=0,MAX(0,G53+G55)*Inputs!F$54,IF(Inputs!$O$90=2,MAX(0,G58)*Inputs!$O$91,G63+G68))</f>
        <v>25691.1681458618</v>
      </c>
    </row>
    <row r="70" customFormat="false" ht="15" hidden="false" customHeight="true" outlineLevel="0" collapsed="false">
      <c r="A70" s="13" t="s">
        <v>605</v>
      </c>
      <c r="C70" s="16" t="n">
        <f aca="false">IF(C58&gt;0,MIN(1,C69/C58),0)</f>
        <v>0.28</v>
      </c>
      <c r="D70" s="16" t="n">
        <f aca="false">IF(D58&gt;0,MIN(1,D69/D58),0)</f>
        <v>0.28</v>
      </c>
      <c r="E70" s="16" t="n">
        <f aca="false">IF(E58&gt;0,MIN(1,E69/E58),0)</f>
        <v>0.28</v>
      </c>
      <c r="F70" s="16" t="n">
        <f aca="false">IF(F58&gt;0,MIN(1,F69/F58),0)</f>
        <v>0.28</v>
      </c>
      <c r="G70" s="16" t="n">
        <f aca="false">IF(G58&gt;0,MIN(1,G69/G58),0)</f>
        <v>0.28</v>
      </c>
    </row>
    <row r="71" customFormat="false" ht="15" hidden="false" customHeight="true" outlineLevel="0" collapsed="false">
      <c r="A71" s="13" t="s">
        <v>606</v>
      </c>
      <c r="C71" s="34" t="n">
        <f aca="false">C53+C55-C69</f>
        <v>3195.51395802683</v>
      </c>
      <c r="D71" s="34" t="n">
        <f aca="false">D53+D55-D69</f>
        <v>17672.0503279732</v>
      </c>
      <c r="E71" s="34" t="n">
        <f aca="false">E53+E55-E69</f>
        <v>32391.5344578767</v>
      </c>
      <c r="F71" s="34" t="n">
        <f aca="false">F53+F55-F69</f>
        <v>49637.9944181185</v>
      </c>
      <c r="G71" s="34" t="n">
        <f aca="false">G53+G55-G69</f>
        <v>66063.0038036447</v>
      </c>
    </row>
    <row r="72" customFormat="false" ht="15" hidden="false" customHeight="true" outlineLevel="0" collapsed="false">
      <c r="A72" s="13" t="s">
        <v>607</v>
      </c>
      <c r="C72" s="34" t="n">
        <f aca="false">C12+C20</f>
        <v>8451.61981826049</v>
      </c>
      <c r="D72" s="34" t="n">
        <f aca="false">D12+D20</f>
        <v>9761.04</v>
      </c>
      <c r="E72" s="34" t="n">
        <f aca="false">E12+E20</f>
        <v>13448.544</v>
      </c>
      <c r="F72" s="34" t="n">
        <f aca="false">F12+F20</f>
        <v>15886.0926</v>
      </c>
      <c r="G72" s="34" t="n">
        <f aca="false">G12+G20</f>
        <v>17020.8135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0</v>
      </c>
      <c r="E74" s="34" t="n">
        <f aca="false">-E$42+E$45</f>
        <v>0</v>
      </c>
      <c r="F74" s="34" t="n">
        <f aca="false">-F$42+F$45</f>
        <v>0</v>
      </c>
      <c r="G74" s="34" t="n">
        <f aca="false">-G$42+G$45</f>
        <v>0</v>
      </c>
    </row>
    <row r="75" customFormat="false" ht="15" hidden="false" customHeight="true" outlineLevel="0" collapsed="false">
      <c r="A75" s="10" t="s">
        <v>610</v>
      </c>
      <c r="C75" s="36" t="n">
        <f aca="false">C53+C72+C52+C55-C69-C51+C73+C74</f>
        <v>10020.2937762873</v>
      </c>
      <c r="D75" s="36" t="n">
        <f aca="false">D53+D72+D52+D55-D69-D51+D73+D74</f>
        <v>23962.4983279732</v>
      </c>
      <c r="E75" s="36" t="n">
        <f aca="false">E53+E72+E52+E55-E69-E51+E73+E74</f>
        <v>39983.4544578767</v>
      </c>
      <c r="F75" s="36" t="n">
        <f aca="false">F53+F72+F52+F55-F69-F51+F73+F74</f>
        <v>58995.0358181185</v>
      </c>
      <c r="G75" s="36" t="n">
        <f aca="false">G53+G72+G52+G55-G69-G51+G73+G74</f>
        <v>76554.7661036447</v>
      </c>
    </row>
    <row r="76" customFormat="false" ht="15" hidden="false" customHeight="true" outlineLevel="0" collapsed="false">
      <c r="A76" s="10" t="s">
        <v>611</v>
      </c>
      <c r="C76" s="36" t="n">
        <f aca="false">C53+C52-(C69-C55*C70)-C51+C73+C74</f>
        <v>-416.10504197317</v>
      </c>
      <c r="D76" s="36" t="n">
        <f aca="false">D53+D52-(D69-D55*D70)-D51+D73+D74</f>
        <v>11691.44304</v>
      </c>
      <c r="E76" s="36" t="n">
        <f aca="false">E53+E52-(E69-E55*E70)-E51+E73+E74</f>
        <v>23593.5702</v>
      </c>
      <c r="F76" s="36" t="n">
        <f aca="false">F53+F52-(F69-F55*F70)-F51+F73+F74</f>
        <v>39447.90078</v>
      </c>
      <c r="G76" s="36" t="n">
        <f aca="false">G53+G52-(G69-G55*G70)-G51+G73+G74</f>
        <v>54810.9995208001</v>
      </c>
    </row>
    <row r="77" customFormat="false" ht="15" hidden="false" customHeight="true" outlineLevel="0" collapsed="false">
      <c r="A77" s="13" t="s">
        <v>612</v>
      </c>
      <c r="C77" s="16" t="n">
        <f aca="false">IFERROR(C76/C49,0)</f>
        <v>-0.00767325075557221</v>
      </c>
      <c r="D77" s="16" t="n">
        <f aca="false">IFERROR(D76/D49,0)</f>
        <v>0.107798951095375</v>
      </c>
      <c r="E77" s="16" t="n">
        <f aca="false">IFERROR(E76/E49,0)</f>
        <v>0.140348696185996</v>
      </c>
      <c r="F77" s="16" t="n">
        <f aca="false">IFERROR(F76/F49,0)</f>
        <v>0.173822041966443</v>
      </c>
      <c r="G77" s="16" t="n">
        <f aca="false">IFERROR(G76/G49,0)</f>
        <v>0.193214030060784</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139445.293776287</v>
      </c>
      <c r="E80" s="34" t="n">
        <f aca="false">D85</f>
        <v>163407.792104261</v>
      </c>
      <c r="F80" s="34" t="n">
        <f aca="false">E85</f>
        <v>203391.246562137</v>
      </c>
      <c r="G80" s="34" t="n">
        <f aca="false">F85</f>
        <v>262386.282380256</v>
      </c>
    </row>
    <row r="81" customFormat="false" ht="15" hidden="false" customHeight="true" outlineLevel="0" collapsed="false">
      <c r="A81" s="13" t="s">
        <v>616</v>
      </c>
      <c r="C81" s="34" t="n">
        <f aca="false">C$42</f>
        <v>0</v>
      </c>
      <c r="D81" s="34" t="n">
        <f aca="false">D$42</f>
        <v>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7794.29377628732</v>
      </c>
      <c r="D82" s="34" t="n">
        <f aca="false">D75</f>
        <v>23962.4983279732</v>
      </c>
      <c r="E82" s="34" t="n">
        <f aca="false">E75</f>
        <v>39983.4544578767</v>
      </c>
      <c r="F82" s="34" t="n">
        <f aca="false">F75</f>
        <v>58995.0358181185</v>
      </c>
      <c r="G82" s="34" t="n">
        <f aca="false">G75</f>
        <v>76554.7661036447</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139445.293776287</v>
      </c>
      <c r="D85" s="36" t="n">
        <f aca="false">D80+D82+D83+D84</f>
        <v>163407.792104261</v>
      </c>
      <c r="E85" s="36" t="n">
        <f aca="false">E80+E82+E83+E84</f>
        <v>203391.246562137</v>
      </c>
      <c r="F85" s="36" t="n">
        <f aca="false">F80+F82+F83+F84</f>
        <v>262386.282380256</v>
      </c>
      <c r="G85" s="36" t="n">
        <f aca="false">G80+G82+G83+G84</f>
        <v>338941.0484839</v>
      </c>
    </row>
    <row r="86" customFormat="false" ht="15" hidden="false" customHeight="true" outlineLevel="0" collapsed="false">
      <c r="A86" s="13" t="s">
        <v>622</v>
      </c>
      <c r="C86" s="34" t="n">
        <f aca="false">MIN(C80-C81,C85)</f>
        <v>131651</v>
      </c>
      <c r="D86" s="34" t="n">
        <f aca="false">MIN(D80-D81,D85)</f>
        <v>139445.293776287</v>
      </c>
      <c r="E86" s="34" t="n">
        <f aca="false">MIN(E80-E81,E85)</f>
        <v>163407.792104261</v>
      </c>
      <c r="F86" s="34" t="n">
        <f aca="false">MIN(F80-F81,F85)</f>
        <v>203391.246562137</v>
      </c>
      <c r="G86" s="34" t="n">
        <f aca="false">MIN(G80-G81,G85)</f>
        <v>262386.282380256</v>
      </c>
    </row>
    <row r="87" customFormat="false" ht="15" hidden="false" customHeight="true" outlineLevel="0" collapsed="false">
      <c r="A87" s="13" t="s">
        <v>623</v>
      </c>
      <c r="C87" s="34" t="n">
        <f aca="false">C86-Inputs!$B$29</f>
        <v>126651</v>
      </c>
      <c r="D87" s="34" t="n">
        <f aca="false">D86-Inputs!$B$29</f>
        <v>134445.293776287</v>
      </c>
      <c r="E87" s="34" t="n">
        <f aca="false">E86-Inputs!$B$29</f>
        <v>158407.792104261</v>
      </c>
      <c r="F87" s="34" t="n">
        <f aca="false">F86-Inputs!$B$29</f>
        <v>198391.246562137</v>
      </c>
      <c r="G87" s="34" t="n">
        <f aca="false">G86-Inputs!$B$29</f>
        <v>257386.282380256</v>
      </c>
    </row>
    <row r="88" customFormat="false" ht="15" hidden="false" customHeight="true" outlineLevel="0" collapsed="false">
      <c r="A88" s="13" t="s">
        <v>624</v>
      </c>
      <c r="C88" s="55" t="str">
        <f aca="false">IF(C85&lt;Inputs!$B$38,"Below","OK")</f>
        <v>OK</v>
      </c>
      <c r="D88" s="55" t="str">
        <f aca="false">IF(D85&lt;Inputs!$B$38,"Below","OK")</f>
        <v>OK</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OK</v>
      </c>
      <c r="E89" s="55" t="str">
        <f aca="false">IF(E87&lt;0,"Shortfall","OK")</f>
        <v>OK</v>
      </c>
      <c r="F89" s="55" t="str">
        <f aca="false">IF(F87&lt;0,"Shortfall","OK")</f>
        <v>OK</v>
      </c>
      <c r="G89" s="55" t="str">
        <f aca="false">IF(G87&lt;0,"Shortfall","OK")</f>
        <v>OK</v>
      </c>
    </row>
    <row r="90" customFormat="false" ht="15" hidden="false" customHeight="true" outlineLevel="0" collapsed="false">
      <c r="A90" s="10" t="s">
        <v>626</v>
      </c>
      <c r="G90" s="36" t="n">
        <f aca="false">MAX(0,-MIN(C87:G87))</f>
        <v>0</v>
      </c>
    </row>
    <row r="91" customFormat="false" ht="15" hidden="false" customHeight="true" outlineLevel="0" collapsed="false">
      <c r="A91" s="13" t="s">
        <v>627</v>
      </c>
      <c r="G91" s="34" t="n">
        <f aca="false">MAX(0,-MIN(C86:G86))</f>
        <v>0</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str">
        <f aca="false">IF(G90=0,"none",IFERROR(2025+MATCH(1,INDEX(--(C87:G87&lt;0),0),0),"none"))</f>
        <v>none</v>
      </c>
    </row>
    <row r="94" customFormat="false" ht="15" hidden="false" customHeight="true" outlineLevel="0" collapsed="false">
      <c r="A94" s="13" t="s">
        <v>630</v>
      </c>
      <c r="G94" s="34" t="n">
        <f aca="false">G90</f>
        <v>0</v>
      </c>
    </row>
    <row r="95" customFormat="false" ht="15" hidden="false" customHeight="true" outlineLevel="0" collapsed="false">
      <c r="A95" s="13" t="s">
        <v>631</v>
      </c>
      <c r="G95" s="34" t="n">
        <f aca="false">G94/(1-Inputs!$B$31)*Inputs!$B$31</f>
        <v>0</v>
      </c>
    </row>
    <row r="96" customFormat="false" ht="15" hidden="false" customHeight="true" outlineLevel="0" collapsed="false">
      <c r="A96" s="13" t="s">
        <v>632</v>
      </c>
      <c r="G96" s="34" t="n">
        <f aca="false">G94+G95</f>
        <v>0</v>
      </c>
    </row>
    <row r="97" customFormat="false" ht="15" hidden="false" customHeight="true" outlineLevel="0" collapsed="false">
      <c r="A97" s="13" t="s">
        <v>633</v>
      </c>
      <c r="C97" s="34" t="n">
        <f aca="false">IF(AND(ISNUMBER($G$93),$G$93=2026),$G$94,0)</f>
        <v>0</v>
      </c>
      <c r="D97" s="34" t="n">
        <f aca="false">IF(AND(ISNUMBER($G$93),$G$93=2027),$G$94,0)</f>
        <v>0</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0</v>
      </c>
      <c r="E98" s="34" t="n">
        <f aca="false">MAX(0,D100-E81+E97)*Inputs!$B$20-E55</f>
        <v>0</v>
      </c>
      <c r="F98" s="34" t="n">
        <f aca="false">MAX(0,E100-F81+F97)*Inputs!$B$20-F55</f>
        <v>0</v>
      </c>
      <c r="G98" s="34" t="n">
        <f aca="false">MAX(0,F100-G81+G97)*Inputs!$B$20-G55</f>
        <v>0</v>
      </c>
    </row>
    <row r="99" customFormat="false" ht="15" hidden="false" customHeight="true" outlineLevel="0" collapsed="false">
      <c r="A99" s="13" t="s">
        <v>635</v>
      </c>
      <c r="C99" s="34" t="n">
        <f aca="false">C98*C70</f>
        <v>0</v>
      </c>
      <c r="D99" s="34" t="n">
        <f aca="false">D98*D70</f>
        <v>0</v>
      </c>
      <c r="E99" s="34" t="n">
        <f aca="false">E98*E70</f>
        <v>0</v>
      </c>
      <c r="F99" s="34" t="n">
        <f aca="false">F98*F70</f>
        <v>0</v>
      </c>
      <c r="G99" s="34" t="n">
        <f aca="false">G98*G70</f>
        <v>0</v>
      </c>
    </row>
    <row r="100" customFormat="false" ht="15" hidden="false" customHeight="true" outlineLevel="0" collapsed="false">
      <c r="A100" s="13" t="s">
        <v>636</v>
      </c>
      <c r="C100" s="34" t="n">
        <f aca="false">C85+SUM($C97:C97)+SUM($C98:C98)-SUM($C99:C99)</f>
        <v>139445.293776287</v>
      </c>
      <c r="D100" s="34" t="n">
        <f aca="false">D85+SUM($C97:D97)+SUM($C98:D98)-SUM($C99:D99)</f>
        <v>163407.792104261</v>
      </c>
      <c r="E100" s="34" t="n">
        <f aca="false">E85+SUM($C97:E97)+SUM($C98:E98)-SUM($C99:E99)</f>
        <v>203391.246562137</v>
      </c>
      <c r="F100" s="34" t="n">
        <f aca="false">F85+SUM($C97:F97)+SUM($C98:F98)-SUM($C99:F99)</f>
        <v>262386.282380256</v>
      </c>
      <c r="G100" s="34" t="n">
        <f aca="false">G85+SUM($C97:G97)+SUM($C98:G98)-SUM($C99:G99)</f>
        <v>338941.0484839</v>
      </c>
    </row>
    <row r="101" customFormat="false" ht="15" hidden="false" customHeight="true" outlineLevel="0" collapsed="false">
      <c r="A101" s="13" t="s">
        <v>637</v>
      </c>
      <c r="C101" s="34" t="n">
        <f aca="false">MIN(C80-C81+0+C97,C100)</f>
        <v>131651</v>
      </c>
      <c r="D101" s="34" t="n">
        <f aca="false">MIN(D80-D81+SUM($C97:C97)+SUM($C98:C98)-SUM($C99:C99)+D97,D100)</f>
        <v>139445.293776287</v>
      </c>
      <c r="E101" s="34" t="n">
        <f aca="false">MIN(E80-E81+SUM($C97:D97)+SUM($C98:D98)-SUM($C99:D99)+E97,E100)</f>
        <v>163407.792104261</v>
      </c>
      <c r="F101" s="34" t="n">
        <f aca="false">MIN(F80-F81+SUM($C97:E97)+SUM($C98:E98)-SUM($C99:E99)+F97,F100)</f>
        <v>203391.246562137</v>
      </c>
      <c r="G101" s="34" t="n">
        <f aca="false">MIN(G80-G81+SUM($C97:F97)+SUM($C98:F98)-SUM($C99:F99)+G97,G100)</f>
        <v>262386.282380256</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110408.208</v>
      </c>
      <c r="E105" s="34" t="n">
        <f aca="false">E5+E31</f>
        <v>175671.606</v>
      </c>
      <c r="F105" s="34" t="n">
        <f aca="false">F5+F31</f>
        <v>247369.1562</v>
      </c>
      <c r="G105" s="34" t="n">
        <f aca="false">G5+G31</f>
        <v>321977.055375</v>
      </c>
    </row>
    <row r="106" customFormat="false" ht="15" hidden="false" customHeight="true" outlineLevel="0" collapsed="false">
      <c r="A106" s="13" t="s">
        <v>558</v>
      </c>
      <c r="C106" s="34" t="n">
        <f aca="false">C17+C35</f>
        <v>1681.57633059282</v>
      </c>
      <c r="D106" s="34" t="n">
        <f aca="false">D17+D35</f>
        <v>22706.9132</v>
      </c>
      <c r="E106" s="34" t="n">
        <f aca="false">E17+E35</f>
        <v>46477.6859</v>
      </c>
      <c r="F106" s="34" t="n">
        <f aca="false">F17+F35</f>
        <v>76845.02603</v>
      </c>
      <c r="G106" s="34" t="n">
        <f aca="false">G17+G35</f>
        <v>108168.20709</v>
      </c>
    </row>
    <row r="107" customFormat="false" ht="15" hidden="false" customHeight="true" outlineLevel="0" collapsed="false">
      <c r="A107" s="13" t="s">
        <v>586</v>
      </c>
      <c r="C107" s="34" t="n">
        <f aca="false">C51+C37</f>
        <v>1626.84</v>
      </c>
      <c r="D107" s="34" t="n">
        <f aca="false">D51+D37</f>
        <v>4416.32832</v>
      </c>
      <c r="E107" s="34" t="n">
        <f aca="false">E51+E37</f>
        <v>8783.5803</v>
      </c>
      <c r="F107" s="34" t="n">
        <f aca="false">F51+F37</f>
        <v>12368.45781</v>
      </c>
      <c r="G107" s="34" t="n">
        <f aca="false">G51+G37</f>
        <v>16098.85276875</v>
      </c>
    </row>
    <row r="108" customFormat="false" ht="15" hidden="false" customHeight="true" outlineLevel="0" collapsed="false">
      <c r="A108" s="13" t="s">
        <v>587</v>
      </c>
      <c r="C108" s="33" t="n">
        <v>0</v>
      </c>
      <c r="D108" s="34" t="n">
        <f aca="false">SUMPRODUCT($D107:D107,--((4-COLUMN($D107:D107))&lt;Inputs!$B$32))/Inputs!$B$32</f>
        <v>883.265664</v>
      </c>
      <c r="E108" s="34" t="n">
        <f aca="false">SUMPRODUCT($D107:E107,--((5-COLUMN($D107:E107))&lt;Inputs!$B$32))/Inputs!$B$32</f>
        <v>2639.981724</v>
      </c>
      <c r="F108" s="34" t="n">
        <f aca="false">SUMPRODUCT($D107:F107,--((6-COLUMN($D107:F107))&lt;Inputs!$B$32))/Inputs!$B$32</f>
        <v>5113.673286</v>
      </c>
      <c r="G108" s="34" t="n">
        <f aca="false">SUMPRODUCT($D107:G107,--((7-COLUMN($D107:G107))&lt;Inputs!$B$32))/Inputs!$B$32</f>
        <v>8333.44383975</v>
      </c>
    </row>
    <row r="109" customFormat="false" ht="15" hidden="false" customHeight="true" outlineLevel="0" collapsed="false">
      <c r="A109" s="10" t="s">
        <v>588</v>
      </c>
      <c r="C109" s="36" t="n">
        <f aca="false">C106-C108</f>
        <v>1681.57633059282</v>
      </c>
      <c r="D109" s="36" t="n">
        <f aca="false">D106-D108</f>
        <v>21823.647536</v>
      </c>
      <c r="E109" s="36" t="n">
        <f aca="false">E106-E108</f>
        <v>43837.704176</v>
      </c>
      <c r="F109" s="36" t="n">
        <f aca="false">F106-F108</f>
        <v>71731.352744</v>
      </c>
      <c r="G109" s="36" t="n">
        <f aca="false">G106-G108</f>
        <v>99834.7632502501</v>
      </c>
    </row>
    <row r="110" customFormat="false" ht="15" hidden="false" customHeight="true" outlineLevel="0" collapsed="false">
      <c r="A110" s="13" t="s">
        <v>589</v>
      </c>
      <c r="C110" s="16" t="n">
        <f aca="false">IFERROR(C109/C105,0)</f>
        <v>0.0310093739505942</v>
      </c>
      <c r="D110" s="16" t="n">
        <f aca="false">IFERROR(D109/D105,0)</f>
        <v>0.1976632709771</v>
      </c>
      <c r="E110" s="16" t="n">
        <f aca="false">IFERROR(E109/E105,0)</f>
        <v>0.249543481580057</v>
      </c>
      <c r="F110" s="16" t="n">
        <f aca="false">IFERROR(F109/F105,0)</f>
        <v>0.289976947190638</v>
      </c>
      <c r="G110" s="16" t="n">
        <f aca="false">IFERROR(G109/G105,0)</f>
        <v>0.310067942990455</v>
      </c>
    </row>
    <row r="111" customFormat="false" ht="15" hidden="false" customHeight="true" outlineLevel="0" collapsed="false">
      <c r="A111" s="13" t="s">
        <v>590</v>
      </c>
      <c r="C111" s="34" t="n">
        <f aca="false">Historicals!F43+C136*Inputs!$B$20/2</f>
        <v>2756.6375</v>
      </c>
      <c r="D111" s="34" t="n">
        <f aca="false">MAX(0,D136-D137)*Inputs!$B$20</f>
        <v>3486.13234440718</v>
      </c>
      <c r="E111" s="34" t="n">
        <f aca="false">MAX(0,E136-E137)*Inputs!$B$20</f>
        <v>4097.40781585451</v>
      </c>
      <c r="F111" s="34" t="n">
        <f aca="false">MAX(0,F136-F137)*Inputs!$B$20</f>
        <v>5142.86346730789</v>
      </c>
      <c r="G111" s="34" t="n">
        <f aca="false">MAX(0,G136-G137)*Inputs!$B$20</f>
        <v>6742.38206101144</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25309.7798804072</v>
      </c>
      <c r="E114" s="34" t="n">
        <f aca="false">E109+E111+E112-E113</f>
        <v>47935.1119918545</v>
      </c>
      <c r="F114" s="34" t="n">
        <f aca="false">F109+F111+F112-F113</f>
        <v>76874.2162113079</v>
      </c>
      <c r="G114" s="34" t="n">
        <f aca="false">G109+G111+G112-G113</f>
        <v>106577.145311262</v>
      </c>
    </row>
    <row r="115" customFormat="false" ht="15" hidden="false" customHeight="true" outlineLevel="0" collapsed="false">
      <c r="A115" s="13" t="s">
        <v>594</v>
      </c>
      <c r="C115" s="34" t="n">
        <f aca="false">C114*Inputs!$B$46</f>
        <v>3195.51395802683</v>
      </c>
      <c r="D115" s="34" t="n">
        <f aca="false">D114*Inputs!$B$46</f>
        <v>18223.0415138932</v>
      </c>
      <c r="E115" s="34" t="n">
        <f aca="false">E114*Inputs!$B$46</f>
        <v>34513.2806341353</v>
      </c>
      <c r="F115" s="34" t="n">
        <f aca="false">F114*Inputs!$B$46</f>
        <v>55349.4356721417</v>
      </c>
      <c r="G115" s="34" t="n">
        <f aca="false">G114*Inputs!$B$46</f>
        <v>76735.5446241083</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191.73083748161</v>
      </c>
      <c r="D119" s="34" t="n">
        <f aca="false">MAX(0,D115-D117)*Inputs!$B$47</f>
        <v>841.38249083359</v>
      </c>
      <c r="E119" s="34" t="n">
        <f aca="false">MAX(0,E115-E117)*Inputs!$B$47</f>
        <v>2070.79683804811</v>
      </c>
      <c r="F119" s="34" t="n">
        <f aca="false">MAX(0,F115-F117)*Inputs!$B$47</f>
        <v>3320.9661403285</v>
      </c>
      <c r="G119" s="34" t="n">
        <f aca="false">MAX(0,G115-G117)*Inputs!$B$47</f>
        <v>4604.1326774465</v>
      </c>
    </row>
    <row r="120" customFormat="false" ht="15" hidden="false" customHeight="true" outlineLevel="0" collapsed="false">
      <c r="A120" s="13" t="s">
        <v>599</v>
      </c>
      <c r="C120" s="34" t="n">
        <f aca="false">C114-C119</f>
        <v>4246.48299311121</v>
      </c>
      <c r="D120" s="34" t="n">
        <f aca="false">D114-D119</f>
        <v>24468.3973895736</v>
      </c>
      <c r="E120" s="34" t="n">
        <f aca="false">E114-E119</f>
        <v>45864.3151538064</v>
      </c>
      <c r="F120" s="34" t="n">
        <f aca="false">F114-F119</f>
        <v>73553.2500709794</v>
      </c>
      <c r="G120" s="34" t="n">
        <f aca="false">G114-G119</f>
        <v>101973.012633815</v>
      </c>
    </row>
    <row r="121" customFormat="false" ht="15" hidden="false" customHeight="true" outlineLevel="0" collapsed="false">
      <c r="A121" s="13" t="s">
        <v>600</v>
      </c>
      <c r="C121" s="34" t="n">
        <f aca="false">Inputs!$B$44</f>
        <v>8200</v>
      </c>
      <c r="D121" s="34" t="n">
        <f aca="false">C123</f>
        <v>4802.81360551103</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3397.18639448897</v>
      </c>
      <c r="D122" s="34" t="n">
        <f aca="false">MIN(D121,Inputs!$B$45*MAX(0,D120))</f>
        <v>4802.81360551103</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178.352285710671</v>
      </c>
      <c r="D124" s="34" t="n">
        <f aca="false">MAX(0,D120-D122)*Inputs!$B$43</f>
        <v>4129.77259465314</v>
      </c>
      <c r="E124" s="34" t="n">
        <f aca="false">MAX(0,E120-E122)*Inputs!$B$43</f>
        <v>9631.50618229934</v>
      </c>
      <c r="F124" s="34" t="n">
        <f aca="false">MAX(0,F120-F122)*Inputs!$B$43</f>
        <v>15446.1825149057</v>
      </c>
      <c r="G124" s="34" t="n">
        <f aca="false">MAX(0,G120-G122)*Inputs!$B$43</f>
        <v>21414.3326531012</v>
      </c>
    </row>
    <row r="125" customFormat="false" ht="15" hidden="false" customHeight="true" outlineLevel="0" collapsed="false">
      <c r="A125" s="10" t="s">
        <v>604</v>
      </c>
      <c r="C125" s="36" t="n">
        <f aca="false">IF(Inputs!$O$90=0,MAX(0,C109+C111)*Inputs!B$54,IF(Inputs!$O$90=2,MAX(0,C114)*Inputs!$O$91,C119+C124))</f>
        <v>1242.69987256599</v>
      </c>
      <c r="D125" s="36" t="n">
        <f aca="false">IF(Inputs!$O$90=0,MAX(0,D109+D111)*Inputs!C$54,IF(Inputs!$O$90=2,MAX(0,D114)*Inputs!$O$91,D119+D124))</f>
        <v>7086.73836651401</v>
      </c>
      <c r="E125" s="36" t="n">
        <f aca="false">IF(Inputs!$O$90=0,MAX(0,E109+E111)*Inputs!D$54,IF(Inputs!$O$90=2,MAX(0,E114)*Inputs!$O$91,E119+E124))</f>
        <v>13421.8313577193</v>
      </c>
      <c r="F125" s="36" t="n">
        <f aca="false">IF(Inputs!$O$90=0,MAX(0,F109+F111)*Inputs!E$54,IF(Inputs!$O$90=2,MAX(0,F114)*Inputs!$O$91,F119+F124))</f>
        <v>21524.7805391662</v>
      </c>
      <c r="G125" s="36" t="n">
        <f aca="false">IF(Inputs!$O$90=0,MAX(0,G109+G111)*Inputs!F$54,IF(Inputs!$O$90=2,MAX(0,G114)*Inputs!$O$91,G119+G124))</f>
        <v>29841.6006871532</v>
      </c>
    </row>
    <row r="126" customFormat="false" ht="15" hidden="false" customHeight="true" outlineLevel="0" collapsed="false">
      <c r="A126" s="13" t="s">
        <v>605</v>
      </c>
      <c r="C126" s="16" t="n">
        <f aca="false">IF(C114&gt;0,MIN(1,C125/C114),0)</f>
        <v>0.28</v>
      </c>
      <c r="D126" s="16" t="n">
        <f aca="false">IF(D114&gt;0,MIN(1,D125/D114),0)</f>
        <v>0.28</v>
      </c>
      <c r="E126" s="16" t="n">
        <f aca="false">IF(E114&gt;0,MIN(1,E125/E114),0)</f>
        <v>0.28</v>
      </c>
      <c r="F126" s="16" t="n">
        <f aca="false">IF(F114&gt;0,MIN(1,F125/F114),0)</f>
        <v>0.28</v>
      </c>
      <c r="G126" s="16" t="n">
        <f aca="false">IF(G114&gt;0,MIN(1,G125/G114),0)</f>
        <v>0.28</v>
      </c>
    </row>
    <row r="127" customFormat="false" ht="15" hidden="false" customHeight="true" outlineLevel="0" collapsed="false">
      <c r="A127" s="13" t="s">
        <v>606</v>
      </c>
      <c r="C127" s="34" t="n">
        <f aca="false">C109+C111-C125</f>
        <v>3195.51395802683</v>
      </c>
      <c r="D127" s="34" t="n">
        <f aca="false">D109+D111-D125</f>
        <v>18223.0415138932</v>
      </c>
      <c r="E127" s="34" t="n">
        <f aca="false">E109+E111-E125</f>
        <v>34513.2806341353</v>
      </c>
      <c r="F127" s="34" t="n">
        <f aca="false">F109+F111-F125</f>
        <v>55349.4356721417</v>
      </c>
      <c r="G127" s="34" t="n">
        <f aca="false">G109+G111-G125</f>
        <v>76735.5446241083</v>
      </c>
    </row>
    <row r="128" customFormat="false" ht="15" hidden="false" customHeight="true" outlineLevel="0" collapsed="false">
      <c r="A128" s="13" t="s">
        <v>607</v>
      </c>
      <c r="C128" s="34" t="n">
        <f aca="false">C12+C20</f>
        <v>8451.61981826049</v>
      </c>
      <c r="D128" s="34" t="n">
        <f aca="false">D12+D20</f>
        <v>9761.04</v>
      </c>
      <c r="E128" s="34" t="n">
        <f aca="false">E12+E20</f>
        <v>13448.544</v>
      </c>
      <c r="F128" s="34" t="n">
        <f aca="false">F12+F20</f>
        <v>15886.0926</v>
      </c>
      <c r="G128" s="34" t="n">
        <f aca="false">G12+G20</f>
        <v>17020.8135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0</v>
      </c>
      <c r="E130" s="34" t="n">
        <f aca="false">-E$42+E$45</f>
        <v>0</v>
      </c>
      <c r="F130" s="34" t="n">
        <f aca="false">-F$42+F$45</f>
        <v>0</v>
      </c>
      <c r="G130" s="34" t="n">
        <f aca="false">-G$42+G$45</f>
        <v>0</v>
      </c>
    </row>
    <row r="131" customFormat="false" ht="15" hidden="false" customHeight="true" outlineLevel="0" collapsed="false">
      <c r="A131" s="10" t="s">
        <v>610</v>
      </c>
      <c r="C131" s="36" t="n">
        <f aca="false">C109+C128+C108+C111-C125-C107+C129+C130</f>
        <v>10020.2937762873</v>
      </c>
      <c r="D131" s="36" t="n">
        <f aca="false">D109+D128+D108+D111-D125-D107+D129+D130</f>
        <v>24451.0188578932</v>
      </c>
      <c r="E131" s="36" t="n">
        <f aca="false">E109+E128+E108+E111-E125-E107+E129+E130</f>
        <v>41818.2260581352</v>
      </c>
      <c r="F131" s="36" t="n">
        <f aca="false">F109+F128+F108+F111-F125-F107+F129+F130</f>
        <v>63980.7437481417</v>
      </c>
      <c r="G131" s="36" t="n">
        <f aca="false">G109+G128+G108+G111-G125-G107+G129+G130</f>
        <v>85990.9491951083</v>
      </c>
    </row>
    <row r="132" customFormat="false" ht="15" hidden="false" customHeight="true" outlineLevel="0" collapsed="false">
      <c r="A132" s="10" t="s">
        <v>611</v>
      </c>
      <c r="C132" s="36" t="n">
        <f aca="false">C109+C108-(C125-C111*C126)-C107+C129+C130</f>
        <v>-416.10504197317</v>
      </c>
      <c r="D132" s="36" t="n">
        <f aca="false">D109+D108-(D125-D111*D126)-D107+D129+D130</f>
        <v>12179.96356992</v>
      </c>
      <c r="E132" s="36" t="n">
        <f aca="false">E109+E108-(E125-E111*E126)-E107+E129+E130</f>
        <v>25419.54843072</v>
      </c>
      <c r="F132" s="36" t="n">
        <f aca="false">F109+F108-(F125-F111*F126)-F107+F129+F130</f>
        <v>44391.78945168</v>
      </c>
      <c r="G132" s="36" t="n">
        <f aca="false">G109+G108-(G125-G111*G126)-G107+G129+G130</f>
        <v>64115.6206111801</v>
      </c>
    </row>
    <row r="133" customFormat="false" ht="15" hidden="false" customHeight="true" outlineLevel="0" collapsed="false">
      <c r="A133" s="13" t="s">
        <v>612</v>
      </c>
      <c r="C133" s="16" t="n">
        <f aca="false">IFERROR(C132/C105,0)</f>
        <v>-0.00767325075557221</v>
      </c>
      <c r="D133" s="16" t="n">
        <f aca="false">IFERROR(D132/D105,0)</f>
        <v>0.110317555103512</v>
      </c>
      <c r="E133" s="16" t="n">
        <f aca="false">IFERROR(E132/E105,0)</f>
        <v>0.144699243147581</v>
      </c>
      <c r="F133" s="16" t="n">
        <f aca="false">IFERROR(F132/F105,0)</f>
        <v>0.179455636804569</v>
      </c>
      <c r="G133" s="16" t="n">
        <f aca="false">IFERROR(G132/G105,0)</f>
        <v>0.199131023595784</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139445.293776287</v>
      </c>
      <c r="E136" s="34" t="n">
        <f aca="false">D141</f>
        <v>163896.31263418</v>
      </c>
      <c r="F136" s="34" t="n">
        <f aca="false">E141</f>
        <v>205714.538692316</v>
      </c>
      <c r="G136" s="34" t="n">
        <f aca="false">F141</f>
        <v>269695.282440457</v>
      </c>
    </row>
    <row r="137" customFormat="false" ht="15" hidden="false" customHeight="true" outlineLevel="0" collapsed="false">
      <c r="A137" s="13" t="s">
        <v>616</v>
      </c>
      <c r="C137" s="34" t="n">
        <f aca="false">C$42</f>
        <v>0</v>
      </c>
      <c r="D137" s="34" t="n">
        <f aca="false">D$42</f>
        <v>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7794.29377628732</v>
      </c>
      <c r="D138" s="34" t="n">
        <f aca="false">D131</f>
        <v>24451.0188578932</v>
      </c>
      <c r="E138" s="34" t="n">
        <f aca="false">E131</f>
        <v>41818.2260581352</v>
      </c>
      <c r="F138" s="34" t="n">
        <f aca="false">F131</f>
        <v>63980.7437481417</v>
      </c>
      <c r="G138" s="34" t="n">
        <f aca="false">G131</f>
        <v>85990.9491951083</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139445.293776287</v>
      </c>
      <c r="D141" s="36" t="n">
        <f aca="false">D136+D138+D139+D140</f>
        <v>163896.31263418</v>
      </c>
      <c r="E141" s="36" t="n">
        <f aca="false">E136+E138+E139+E140</f>
        <v>205714.538692316</v>
      </c>
      <c r="F141" s="36" t="n">
        <f aca="false">F136+F138+F139+F140</f>
        <v>269695.282440457</v>
      </c>
      <c r="G141" s="36" t="n">
        <f aca="false">G136+G138+G139+G140</f>
        <v>355686.231635566</v>
      </c>
    </row>
    <row r="142" customFormat="false" ht="15" hidden="false" customHeight="true" outlineLevel="0" collapsed="false">
      <c r="A142" s="13" t="s">
        <v>622</v>
      </c>
      <c r="C142" s="34" t="n">
        <f aca="false">MIN(C136-C137,C141)</f>
        <v>131651</v>
      </c>
      <c r="D142" s="34" t="n">
        <f aca="false">MIN(D136-D137,D141)</f>
        <v>139445.293776287</v>
      </c>
      <c r="E142" s="34" t="n">
        <f aca="false">MIN(E136-E137,E141)</f>
        <v>163896.31263418</v>
      </c>
      <c r="F142" s="34" t="n">
        <f aca="false">MIN(F136-F137,F141)</f>
        <v>205714.538692316</v>
      </c>
      <c r="G142" s="34" t="n">
        <f aca="false">MIN(G136-G137,G141)</f>
        <v>269695.282440457</v>
      </c>
    </row>
    <row r="143" customFormat="false" ht="15" hidden="false" customHeight="true" outlineLevel="0" collapsed="false">
      <c r="A143" s="13" t="s">
        <v>623</v>
      </c>
      <c r="C143" s="34" t="n">
        <f aca="false">C142-Inputs!$B$29</f>
        <v>126651</v>
      </c>
      <c r="D143" s="34" t="n">
        <f aca="false">D142-Inputs!$B$29</f>
        <v>134445.293776287</v>
      </c>
      <c r="E143" s="34" t="n">
        <f aca="false">E142-Inputs!$B$29</f>
        <v>158896.31263418</v>
      </c>
      <c r="F143" s="34" t="n">
        <f aca="false">F142-Inputs!$B$29</f>
        <v>200714.538692316</v>
      </c>
      <c r="G143" s="34" t="n">
        <f aca="false">G142-Inputs!$B$29</f>
        <v>264695.282440457</v>
      </c>
    </row>
    <row r="144" customFormat="false" ht="15" hidden="false" customHeight="true" outlineLevel="0" collapsed="false">
      <c r="A144" s="13" t="s">
        <v>624</v>
      </c>
      <c r="C144" s="55" t="str">
        <f aca="false">IF(C141&lt;Inputs!$B$38,"Below","OK")</f>
        <v>OK</v>
      </c>
      <c r="D144" s="55" t="str">
        <f aca="false">IF(D141&lt;Inputs!$B$38,"Below","OK")</f>
        <v>OK</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OK</v>
      </c>
      <c r="E145" s="55" t="str">
        <f aca="false">IF(E143&lt;0,"Shortfall","OK")</f>
        <v>OK</v>
      </c>
      <c r="F145" s="55" t="str">
        <f aca="false">IF(F143&lt;0,"Shortfall","OK")</f>
        <v>OK</v>
      </c>
      <c r="G145" s="55" t="str">
        <f aca="false">IF(G143&lt;0,"Shortfall","OK")</f>
        <v>OK</v>
      </c>
    </row>
    <row r="146" customFormat="false" ht="15" hidden="false" customHeight="true" outlineLevel="0" collapsed="false">
      <c r="A146" s="10" t="s">
        <v>626</v>
      </c>
      <c r="G146" s="36" t="n">
        <f aca="false">MAX(0,-MIN(C143:G143))</f>
        <v>0</v>
      </c>
    </row>
    <row r="147" customFormat="false" ht="15" hidden="false" customHeight="true" outlineLevel="0" collapsed="false">
      <c r="A147" s="13" t="s">
        <v>627</v>
      </c>
      <c r="G147" s="34" t="n">
        <f aca="false">MAX(0,-MIN(C142:G142))</f>
        <v>0</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str">
        <f aca="false">IF(G146=0,"none",IFERROR(2025+MATCH(1,INDEX(--(C143:G143&lt;0),0),0),"none"))</f>
        <v>none</v>
      </c>
    </row>
    <row r="150" customFormat="false" ht="15" hidden="false" customHeight="true" outlineLevel="0" collapsed="false">
      <c r="A150" s="13" t="s">
        <v>630</v>
      </c>
      <c r="G150" s="34" t="n">
        <f aca="false">G146</f>
        <v>0</v>
      </c>
    </row>
    <row r="151" customFormat="false" ht="15" hidden="false" customHeight="true" outlineLevel="0" collapsed="false">
      <c r="A151" s="13" t="s">
        <v>631</v>
      </c>
      <c r="G151" s="34" t="n">
        <f aca="false">G150/(1-Inputs!$B$31)*Inputs!$B$31</f>
        <v>0</v>
      </c>
    </row>
    <row r="152" customFormat="false" ht="15" hidden="false" customHeight="true" outlineLevel="0" collapsed="false">
      <c r="A152" s="13" t="s">
        <v>632</v>
      </c>
      <c r="G152" s="34" t="n">
        <f aca="false">G150+G151</f>
        <v>0</v>
      </c>
    </row>
    <row r="153" customFormat="false" ht="15" hidden="false" customHeight="true" outlineLevel="0" collapsed="false">
      <c r="A153" s="13" t="s">
        <v>633</v>
      </c>
      <c r="C153" s="34" t="n">
        <f aca="false">IF(AND(ISNUMBER($G$149),$G$149=2026),$G$150,0)</f>
        <v>0</v>
      </c>
      <c r="D153" s="34" t="n">
        <f aca="false">IF(AND(ISNUMBER($G$149),$G$149=2027),$G$150,0)</f>
        <v>0</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0</v>
      </c>
      <c r="E154" s="34" t="n">
        <f aca="false">MAX(0,D156-E137+E153)*Inputs!$B$20-E111</f>
        <v>0</v>
      </c>
      <c r="F154" s="34" t="n">
        <f aca="false">MAX(0,E156-F137+F153)*Inputs!$B$20-F111</f>
        <v>0</v>
      </c>
      <c r="G154" s="34" t="n">
        <f aca="false">MAX(0,F156-G137+G153)*Inputs!$B$20-G111</f>
        <v>0</v>
      </c>
    </row>
    <row r="155" customFormat="false" ht="15" hidden="false" customHeight="true" outlineLevel="0" collapsed="false">
      <c r="A155" s="13" t="s">
        <v>635</v>
      </c>
      <c r="C155" s="34" t="n">
        <f aca="false">C154*C126</f>
        <v>0</v>
      </c>
      <c r="D155" s="34" t="n">
        <f aca="false">D154*D126</f>
        <v>0</v>
      </c>
      <c r="E155" s="34" t="n">
        <f aca="false">E154*E126</f>
        <v>0</v>
      </c>
      <c r="F155" s="34" t="n">
        <f aca="false">F154*F126</f>
        <v>0</v>
      </c>
      <c r="G155" s="34" t="n">
        <f aca="false">G154*G126</f>
        <v>0</v>
      </c>
    </row>
    <row r="156" customFormat="false" ht="15" hidden="false" customHeight="true" outlineLevel="0" collapsed="false">
      <c r="A156" s="13" t="s">
        <v>636</v>
      </c>
      <c r="C156" s="34" t="n">
        <f aca="false">C141+SUM($C153:C153)+SUM($C154:C154)-SUM($C155:C155)</f>
        <v>139445.293776287</v>
      </c>
      <c r="D156" s="34" t="n">
        <f aca="false">D141+SUM($C153:D153)+SUM($C154:D154)-SUM($C155:D155)</f>
        <v>163896.31263418</v>
      </c>
      <c r="E156" s="34" t="n">
        <f aca="false">E141+SUM($C153:E153)+SUM($C154:E154)-SUM($C155:E155)</f>
        <v>205714.538692316</v>
      </c>
      <c r="F156" s="34" t="n">
        <f aca="false">F141+SUM($C153:F153)+SUM($C154:F154)-SUM($C155:F155)</f>
        <v>269695.282440457</v>
      </c>
      <c r="G156" s="34" t="n">
        <f aca="false">G141+SUM($C153:G153)+SUM($C154:G154)-SUM($C155:G155)</f>
        <v>355686.231635566</v>
      </c>
    </row>
    <row r="157" customFormat="false" ht="15" hidden="false" customHeight="true" outlineLevel="0" collapsed="false">
      <c r="A157" s="13" t="s">
        <v>637</v>
      </c>
      <c r="C157" s="34" t="n">
        <f aca="false">MIN(C136-C137+0+C153,C156)</f>
        <v>131651</v>
      </c>
      <c r="D157" s="34" t="n">
        <f aca="false">MIN(D136-D137+SUM($C153:C153)+SUM($C154:C154)-SUM($C155:C155)+D153,D156)</f>
        <v>139445.293776287</v>
      </c>
      <c r="E157" s="34" t="n">
        <f aca="false">MIN(E136-E137+SUM($C153:D153)+SUM($C154:D154)-SUM($C155:D155)+E153,E156)</f>
        <v>163896.31263418</v>
      </c>
      <c r="F157" s="34" t="n">
        <f aca="false">MIN(F136-F137+SUM($C153:E153)+SUM($C154:E154)-SUM($C155:E155)+F153,F156)</f>
        <v>205714.538692316</v>
      </c>
      <c r="G157" s="34" t="n">
        <f aca="false">MIN(G136-G137+SUM($C153:F153)+SUM($C154:F154)-SUM($C155:F155)+G153,G156)</f>
        <v>269695.282440457</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Inputs!$B$19+Inputs!$O$89</f>
        <v>0.12</v>
      </c>
      <c r="G162" s="16" t="n">
        <f aca="false">Inputs!$B$19+Inputs!$O$89</f>
        <v>0.12</v>
      </c>
    </row>
    <row r="163" customFormat="false" ht="15" hidden="false" customHeight="true" outlineLevel="0" collapsed="false">
      <c r="A163" s="13" t="s">
        <v>642</v>
      </c>
      <c r="F163" s="34" t="n">
        <f aca="false">G53*(1-G70)</f>
        <v>61340.0507208001</v>
      </c>
      <c r="G163" s="34" t="n">
        <f aca="false">G109*(1-G126)</f>
        <v>71881.0295401801</v>
      </c>
    </row>
    <row r="164" customFormat="false" ht="15" hidden="false" customHeight="true" outlineLevel="0" collapsed="false">
      <c r="A164" s="13" t="s">
        <v>643</v>
      </c>
      <c r="F164" s="53" t="n">
        <f aca="false">Inputs!$O$87</f>
        <v>30</v>
      </c>
      <c r="G164" s="53" t="n">
        <f aca="false">Inputs!$O$87</f>
        <v>30</v>
      </c>
    </row>
    <row r="165" customFormat="false" ht="15" hidden="false" customHeight="true" outlineLevel="0" collapsed="false">
      <c r="A165" s="13" t="s">
        <v>644</v>
      </c>
      <c r="F165" s="34" t="n">
        <f aca="false">F163*F164</f>
        <v>1840201.521624</v>
      </c>
      <c r="G165" s="34" t="n">
        <f aca="false">G163*G164</f>
        <v>2156430.8862054</v>
      </c>
    </row>
    <row r="166" customFormat="false" ht="15" hidden="false" customHeight="true" outlineLevel="0" collapsed="false">
      <c r="A166" s="13" t="s">
        <v>645</v>
      </c>
      <c r="F166" s="34" t="n">
        <f aca="false">F165*$G$21</f>
        <v>1169481.33490013</v>
      </c>
      <c r="G166" s="34" t="n">
        <f aca="false">G165*$G$21</f>
        <v>1370450.81301408</v>
      </c>
    </row>
    <row r="167" customFormat="false" ht="15" hidden="false" customHeight="true" outlineLevel="0" collapsed="false">
      <c r="A167" s="13" t="s">
        <v>646</v>
      </c>
      <c r="F167" s="34" t="n">
        <f aca="false">SUMPRODUCT(D76:G76,$D$21:$G$21)-F162*SUMPRODUCT(D81:G81,$D$21:$G$21)</f>
        <v>92159.0558253959</v>
      </c>
      <c r="G167" s="34" t="n">
        <f aca="false">SUMPRODUCT(D132:G132,$D$21:$G$21)-G162*SUMPRODUCT(D137:G137,$D$21:$G$21)</f>
        <v>103483.110755572</v>
      </c>
    </row>
    <row r="168" customFormat="false" ht="15" hidden="false" customHeight="true" outlineLevel="0" collapsed="false">
      <c r="A168" s="13" t="s">
        <v>647</v>
      </c>
      <c r="F168" s="34" t="n">
        <f aca="false">F166+F167</f>
        <v>1261640.39072553</v>
      </c>
      <c r="G168" s="34" t="n">
        <f aca="false">G166+G167</f>
        <v>1473933.92376966</v>
      </c>
    </row>
    <row r="169" customFormat="false" ht="15" hidden="false" customHeight="true" outlineLevel="0" collapsed="false">
      <c r="A169" s="13" t="s">
        <v>648</v>
      </c>
      <c r="F169" s="34" t="n">
        <f aca="false">(G76-G74)*Inputs!$O$88*$G$21</f>
        <v>975334.670545395</v>
      </c>
      <c r="G169" s="34" t="n">
        <f aca="false">(G132-G130)*Inputs!$O$88*$G$21</f>
        <v>1140905.80818341</v>
      </c>
    </row>
    <row r="170" customFormat="false" ht="15" hidden="false" customHeight="true" outlineLevel="0" collapsed="false">
      <c r="A170" s="13" t="s">
        <v>649</v>
      </c>
      <c r="F170" s="34" t="n">
        <f aca="false">F167+F169</f>
        <v>1067493.72637079</v>
      </c>
      <c r="G170" s="34" t="n">
        <f aca="false">G167+G169</f>
        <v>1244388.91893898</v>
      </c>
    </row>
    <row r="171" customFormat="false" ht="15" hidden="false" customHeight="true" outlineLevel="0" collapsed="false">
      <c r="A171" s="13" t="s">
        <v>650</v>
      </c>
      <c r="F171" s="34" t="n">
        <f aca="false">F168*Inputs!$B$21+F170*(1-Inputs!$B$21)</f>
        <v>1164567.05854816</v>
      </c>
      <c r="G171" s="34" t="n">
        <f aca="false">G168*Inputs!$B$21+G170*(1-Inputs!$B$21)</f>
        <v>1359161.42135432</v>
      </c>
    </row>
    <row r="172" customFormat="false" ht="15" hidden="false" customHeight="true" outlineLevel="0" collapsed="false">
      <c r="A172" s="13" t="s">
        <v>651</v>
      </c>
      <c r="F172" s="16" t="n">
        <f aca="false">IFERROR(F166/F168,0)</f>
        <v>0.926952991912063</v>
      </c>
      <c r="G172" s="16" t="n">
        <f aca="false">IFERROR(G166/G168,0)</f>
        <v>0.929791214458984</v>
      </c>
    </row>
    <row r="173" customFormat="false" ht="15" hidden="false" customHeight="true" outlineLevel="0" collapsed="false">
      <c r="A173" s="13" t="s">
        <v>652</v>
      </c>
      <c r="F173" s="16" t="n">
        <f aca="false">IFERROR(F169/F170,0)</f>
        <v>0.913667824410816</v>
      </c>
      <c r="G173" s="16" t="n">
        <f aca="false">IFERROR(G169/G170,0)</f>
        <v>0.91684021837497</v>
      </c>
    </row>
    <row r="174" customFormat="false" ht="15" hidden="false" customHeight="true" outlineLevel="0" collapsed="false">
      <c r="A174" s="13" t="s">
        <v>653</v>
      </c>
      <c r="F174" s="34" t="n">
        <f aca="false">C85</f>
        <v>139445.293776287</v>
      </c>
      <c r="G174" s="34" t="n">
        <f aca="false">C141</f>
        <v>139445.293776287</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1304012.35232445</v>
      </c>
      <c r="G176" s="35" t="n">
        <f aca="false">G171+G174+G175</f>
        <v>1498606.71513061</v>
      </c>
    </row>
    <row r="177" customFormat="false" ht="15" hidden="false" customHeight="true" outlineLevel="0" collapsed="false">
      <c r="A177" s="13" t="s">
        <v>656</v>
      </c>
      <c r="F177" s="34" t="n">
        <f aca="false">IF(F182="OK",F176,"unresolved")</f>
        <v>1304012.35232445</v>
      </c>
      <c r="G177" s="34" t="n">
        <f aca="false">IF(G182="OK",G176,"unresolved")</f>
        <v>1498606.71513061</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72.839027310478</v>
      </c>
      <c r="G179" s="25" t="n">
        <f aca="false">IF(G182="OK",G176/G178,"n/a")</f>
        <v>83.7086054104379</v>
      </c>
    </row>
    <row r="180" customFormat="false" ht="15" hidden="false" customHeight="true" outlineLevel="0" collapsed="false">
      <c r="A180" s="13" t="s">
        <v>659</v>
      </c>
      <c r="F180" s="34" t="n">
        <f aca="false">G90</f>
        <v>0</v>
      </c>
      <c r="G180" s="34" t="n">
        <f aca="false">G146</f>
        <v>0</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No raise needed</v>
      </c>
      <c r="G183" s="29" t="str">
        <f aca="false">IF(G182&lt;&gt;"OK",G182,IF(G180&gt;0,"Raise needed by 2030",IF(ISNUMBER(G181),"Cash-negative in 2030; runway "&amp;TEXT(G181,"0.0")&amp;" yrs","No raise needed")))</f>
        <v>No raise needed</v>
      </c>
    </row>
    <row r="184" customFormat="false" ht="15" hidden="false" customHeight="true" outlineLevel="0" collapsed="false">
      <c r="A184" s="13" t="s">
        <v>663</v>
      </c>
      <c r="F184" s="25" t="n">
        <f aca="false">IF(NOT(ISNUMBER(F179)),"unresolved",IF(F180=0,F179,(F176+F180/(1+F162)^IF(ISNUMBER(G93),MAX(0,G93-2027),0))/(F178+(F180/(1-Inputs!$B$31))/(F179*(1+F162)^IF(ISNUMBER(G93),MAX(0,G93-2027),0)*(1-0)))))</f>
        <v>72.839027310478</v>
      </c>
      <c r="G184" s="25" t="n">
        <f aca="false">IF(NOT(ISNUMBER(G179)),"unresolved",IF(G180=0,G179,(G176+G180/(1+G162)^IF(ISNUMBER(G149),MAX(0,G149-2027),0))/(G178+(G180/(1-Inputs!$B$31))/(G179*(1+G162)^IF(ISNUMBER(G149),MAX(0,G149-2027),0)*(1-0)))))</f>
        <v>83.7086054104379</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72.839027310478</v>
      </c>
      <c r="G185" s="25" t="n">
        <f aca="false">IF(NOT(ISNUMBER(G179)),"unresolved",IF(G180=0,G179,(G176+G180/(1+G162)^IF(ISNUMBER(G149),MAX(0,G149-2027),0))/(G178+(G180/(1-Inputs!$B$31))/(G179*(1+G162)^IF(ISNUMBER(G149),MAX(0,G149-2027),0)*(1-Inputs!$B$30)))))</f>
        <v>83.7086054104379</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72.839027310478</v>
      </c>
      <c r="G186" s="25" t="n">
        <f aca="false">IF(NOT(ISNUMBER(G179)),"unresolved",IF(G180=0,G179,(G176+G180/(1+G162)^IF(ISNUMBER(G149),MAX(0,G149-2027),0))/(G178+(G180/(1-Inputs!$B$31))/(G179*(1+G162)^IF(ISNUMBER(G149),MAX(0,G149-2027),0)*(1-0.3)))))</f>
        <v>83.7086054104379</v>
      </c>
    </row>
    <row r="187" customFormat="false" ht="15" hidden="false" customHeight="true" outlineLevel="0" collapsed="false">
      <c r="A187" s="13" t="s">
        <v>666</v>
      </c>
      <c r="F187" s="25" t="n">
        <f aca="false">F185</f>
        <v>72.839027310478</v>
      </c>
      <c r="G187" s="25" t="n">
        <f aca="false">G185</f>
        <v>83.7086054104379</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n">
        <f aca="false">IF(ISNUMBER(F187),F187/(1+Inputs!$B$25)^F188,"unresolved")</f>
        <v>72.839027310478</v>
      </c>
      <c r="G189" s="12" t="n">
        <f aca="false">IF(ISNUMBER(G187),G187/(1+Inputs!$B$25)^G188,"unresolved")</f>
        <v>83.7086054104379</v>
      </c>
    </row>
    <row r="190" customFormat="false" ht="15" hidden="false" customHeight="true" outlineLevel="0" collapsed="false">
      <c r="A190" s="13" t="s">
        <v>669</v>
      </c>
      <c r="F190" s="25" t="n">
        <f aca="false">IF(F180=0,F189,"unresolved")</f>
        <v>72.839027310478</v>
      </c>
      <c r="G190" s="25" t="n">
        <f aca="false">IF(G180=0,G189,"unresolved")</f>
        <v>83.7086054104379</v>
      </c>
    </row>
    <row r="191" customFormat="false" ht="15" hidden="false" customHeight="true" outlineLevel="0" collapsed="false">
      <c r="A191" s="13" t="s">
        <v>670</v>
      </c>
      <c r="F191" s="34" t="n">
        <f aca="false">IF(ISNUMBER(F179),F176+F180/(1+F162)^IF(ISNUMBER(G93),MAX(0,G93-2027),0),"unresolved")</f>
        <v>1304012.35232445</v>
      </c>
      <c r="G191" s="34" t="n">
        <f aca="false">IF(ISNUMBER(G179),G176+G180/(1+G162)^IF(ISNUMBER(G149),MAX(0,G149-2027),0),"unresolved")</f>
        <v>1498606.71513061</v>
      </c>
    </row>
    <row r="192" customFormat="false" ht="15" hidden="false" customHeight="true" outlineLevel="0" collapsed="false">
      <c r="A192" s="13" t="s">
        <v>671</v>
      </c>
      <c r="F192" s="28" t="n">
        <f aca="false">IFERROR(F191/D49,"n/a")</f>
        <v>12.0234228841599</v>
      </c>
      <c r="G192" s="28" t="n">
        <f aca="false">IFERROR(G191/D105,"n/a")</f>
        <v>13.573327040419</v>
      </c>
    </row>
    <row r="193" customFormat="false" ht="15" hidden="false" customHeight="true" outlineLevel="0" collapsed="false">
      <c r="A193" s="13" t="s">
        <v>672</v>
      </c>
      <c r="F193" s="25" t="n">
        <f aca="false">(F168+F174)/F178</f>
        <v>78.2613126753234</v>
      </c>
      <c r="G193" s="25" t="n">
        <f aca="false">(G168+G174)/G178</f>
        <v>90.1195243124105</v>
      </c>
    </row>
    <row r="194" customFormat="false" ht="15" hidden="false" customHeight="true" outlineLevel="0" collapsed="false">
      <c r="A194" s="13" t="s">
        <v>673</v>
      </c>
      <c r="F194" s="25" t="n">
        <f aca="false">(F170+F174)/F178</f>
        <v>67.4167419456326</v>
      </c>
      <c r="G194" s="25" t="n">
        <f aca="false">(G170+G174)/G178</f>
        <v>77.2976865084652</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4" width="66"/>
    <col collapsed="false" customWidth="true" hidden="false" outlineLevel="0" max="7" min="2" style="4" width="14"/>
  </cols>
  <sheetData>
    <row r="1" customFormat="false" ht="17.25" hidden="false" customHeight="true" outlineLevel="0" collapsed="false">
      <c r="A1" s="5" t="s">
        <v>689</v>
      </c>
    </row>
    <row r="2" customFormat="false" ht="15" hidden="false" customHeight="true" outlineLevel="0" collapsed="false">
      <c r="A2" s="6" t="s">
        <v>543</v>
      </c>
    </row>
    <row r="4" customFormat="false" ht="15" hidden="false" customHeight="true" outlineLevel="0" collapsed="false">
      <c r="A4" s="8" t="s">
        <v>544</v>
      </c>
      <c r="B4" s="9" t="s">
        <v>545</v>
      </c>
      <c r="C4" s="9" t="s">
        <v>546</v>
      </c>
      <c r="D4" s="9" t="s">
        <v>547</v>
      </c>
      <c r="E4" s="9" t="s">
        <v>548</v>
      </c>
      <c r="F4" s="9" t="s">
        <v>549</v>
      </c>
      <c r="G4" s="9" t="s">
        <v>550</v>
      </c>
    </row>
    <row r="5" customFormat="false" ht="15" hidden="false" customHeight="true" outlineLevel="0" collapsed="false">
      <c r="A5" s="10" t="s">
        <v>249</v>
      </c>
      <c r="B5" s="41" t="n">
        <f aca="false">Historicals!D35</f>
        <v>4585</v>
      </c>
      <c r="C5" s="34" t="n">
        <f aca="false">Historicals!F35+(Inputs!$B$5+Inputs!$P$60)</f>
        <v>54228</v>
      </c>
      <c r="D5" s="34" t="n">
        <f aca="false">C5*(1+Inputs!$P$62)</f>
        <v>108456</v>
      </c>
      <c r="E5" s="34" t="n">
        <f aca="false">D5*(1+Inputs!$P$63)</f>
        <v>168106.8</v>
      </c>
      <c r="F5" s="34" t="n">
        <f aca="false">E5*(1+Inputs!$P$64)</f>
        <v>226944.18</v>
      </c>
      <c r="G5" s="34" t="n">
        <f aca="false">F5*(1+Inputs!$P$65)</f>
        <v>283680.225</v>
      </c>
    </row>
    <row r="6" customFormat="false" ht="15" hidden="false" customHeight="true" outlineLevel="0" collapsed="false">
      <c r="A6" s="13" t="s">
        <v>551</v>
      </c>
      <c r="C6" s="16" t="n">
        <f aca="false">IFERROR(C5/B5-1,0)</f>
        <v>10.8272628135224</v>
      </c>
      <c r="D6" s="16" t="n">
        <f aca="false">IFERROR(D5/C5-1,0)</f>
        <v>1</v>
      </c>
      <c r="E6" s="16" t="n">
        <f aca="false">IFERROR(E5/D5-1,0)</f>
        <v>0.55</v>
      </c>
      <c r="F6" s="16" t="n">
        <f aca="false">IFERROR(F5/E5-1,0)</f>
        <v>0.35</v>
      </c>
      <c r="G6" s="16" t="n">
        <f aca="false">IFERROR(G5/F5-1,0)</f>
        <v>0.25</v>
      </c>
    </row>
    <row r="7" customFormat="false" ht="15" hidden="false" customHeight="true" outlineLevel="0" collapsed="false">
      <c r="A7" s="13" t="s">
        <v>552</v>
      </c>
      <c r="B7" s="41" t="n">
        <f aca="false">Historicals!D51</f>
        <v>789</v>
      </c>
      <c r="C7" s="34" t="n">
        <f aca="false">Historicals!F51+(Inputs!$B$5+Inputs!$P$60)*Historicals!F51/Historicals!F35</f>
        <v>10728.3934667813</v>
      </c>
      <c r="D7" s="34" t="n">
        <f aca="false">D5*Inputs!$P$61</f>
        <v>21691.2</v>
      </c>
      <c r="E7" s="34" t="n">
        <f aca="false">E5*Inputs!$P$61</f>
        <v>33621.36</v>
      </c>
      <c r="F7" s="34" t="n">
        <f aca="false">F5*Inputs!$P$61</f>
        <v>45388.836</v>
      </c>
      <c r="G7" s="34" t="n">
        <f aca="false">G5*Inputs!$P$61</f>
        <v>56736.045</v>
      </c>
    </row>
    <row r="8" customFormat="false" ht="15" hidden="false" customHeight="true" outlineLevel="0" collapsed="false">
      <c r="A8" s="13" t="s">
        <v>553</v>
      </c>
      <c r="B8" s="34" t="n">
        <f aca="false">B5-B7</f>
        <v>3796</v>
      </c>
      <c r="C8" s="34" t="n">
        <f aca="false">C5-C7</f>
        <v>43499.6065332187</v>
      </c>
      <c r="D8" s="34" t="n">
        <f aca="false">D5-D7</f>
        <v>86764.8</v>
      </c>
      <c r="E8" s="34" t="n">
        <f aca="false">E5-E7</f>
        <v>134485.44</v>
      </c>
      <c r="F8" s="34" t="n">
        <f aca="false">F5-F7</f>
        <v>181555.344</v>
      </c>
      <c r="G8" s="34" t="n">
        <f aca="false">G5-G7</f>
        <v>226944.18</v>
      </c>
    </row>
    <row r="10" customFormat="false" ht="15" hidden="false" customHeight="true" outlineLevel="0" collapsed="false">
      <c r="A10" s="13" t="s">
        <v>250</v>
      </c>
      <c r="B10" s="41" t="n">
        <f aca="false">Historicals!D36</f>
        <v>7326</v>
      </c>
      <c r="C10" s="34" t="n">
        <f aca="false">Historicals!F36+(Inputs!$B$5+Inputs!$P$60)*Inputs!$P$66</f>
        <v>26018.9</v>
      </c>
      <c r="D10" s="34" t="n">
        <f aca="false">C10*(1+Inputs!$P$67)</f>
        <v>44232.13</v>
      </c>
      <c r="E10" s="34" t="n">
        <f aca="false">D10*(1+Inputs!$P$68)</f>
        <v>64136.5885</v>
      </c>
      <c r="F10" s="34" t="n">
        <f aca="false">E10*(1+Inputs!$P$69)</f>
        <v>83377.56505</v>
      </c>
      <c r="G10" s="34" t="n">
        <f aca="false">F10*(1+Inputs!$P$70)</f>
        <v>100053.07806</v>
      </c>
    </row>
    <row r="11" customFormat="false" ht="15" hidden="false" customHeight="true" outlineLevel="0" collapsed="false">
      <c r="A11" s="13" t="s">
        <v>251</v>
      </c>
      <c r="B11" s="41" t="n">
        <f aca="false">Historicals!D37</f>
        <v>1839</v>
      </c>
      <c r="C11" s="34" t="n">
        <f aca="false">Historicals!F37+(Inputs!$B$5+Inputs!$P$60)*Historicals!G24</f>
        <v>9249.6455214193</v>
      </c>
      <c r="D11" s="34" t="n">
        <f aca="false">D5*Inputs!$P$71</f>
        <v>15183.84</v>
      </c>
      <c r="E11" s="34" t="n">
        <f aca="false">E5*Inputs!$P$72</f>
        <v>21853.884</v>
      </c>
      <c r="F11" s="34" t="n">
        <f aca="false">F5*Inputs!$P$73</f>
        <v>27233.3016</v>
      </c>
      <c r="G11" s="34" t="n">
        <f aca="false">G5*Inputs!$P$74</f>
        <v>31204.82475</v>
      </c>
    </row>
    <row r="12" customFormat="false" ht="15" hidden="false" customHeight="true" outlineLevel="0" collapsed="false">
      <c r="A12" s="13" t="s">
        <v>554</v>
      </c>
      <c r="B12" s="41" t="n">
        <f aca="false">Historicals!D49</f>
        <v>1158</v>
      </c>
      <c r="C12" s="34" t="n">
        <f aca="false">Historicals!F49+(Inputs!$B$5+Inputs!$P$60)*Historicals!G29</f>
        <v>6325.61981826049</v>
      </c>
      <c r="D12" s="34" t="n">
        <f aca="false">D5*Inputs!$P$75</f>
        <v>9761.04</v>
      </c>
      <c r="E12" s="34" t="n">
        <f aca="false">E5*Inputs!$P$76</f>
        <v>13448.544</v>
      </c>
      <c r="F12" s="34" t="n">
        <f aca="false">F5*Inputs!$P$77</f>
        <v>15886.0926</v>
      </c>
      <c r="G12" s="34" t="n">
        <f aca="false">G5*Inputs!$P$78</f>
        <v>17020.8135</v>
      </c>
    </row>
    <row r="13" customFormat="false" ht="15" hidden="false" customHeight="true" outlineLevel="0" collapsed="false">
      <c r="A13" s="13" t="s">
        <v>555</v>
      </c>
      <c r="B13" s="41" t="n">
        <f aca="false">Historicals!D39</f>
        <v>568</v>
      </c>
      <c r="C13" s="34" t="n">
        <f aca="false">Historicals!F39+(Inputs!$B$5+Inputs!$P$60)*Historicals!G25</f>
        <v>10178.486369537</v>
      </c>
      <c r="D13" s="34" t="n">
        <f aca="false">D5*Inputs!$P$79</f>
        <v>18437.52</v>
      </c>
      <c r="E13" s="34" t="n">
        <f aca="false">E5*Inputs!$P$80</f>
        <v>26897.088</v>
      </c>
      <c r="F13" s="34" t="n">
        <f aca="false">F5*Inputs!$P$81</f>
        <v>34041.627</v>
      </c>
      <c r="G13" s="34" t="n">
        <f aca="false">G5*Inputs!$P$82</f>
        <v>42552.03375</v>
      </c>
    </row>
    <row r="14" customFormat="false" ht="15" hidden="false" customHeight="true" outlineLevel="0" collapsed="false">
      <c r="A14" s="13" t="s">
        <v>556</v>
      </c>
      <c r="B14" s="41" t="n">
        <f aca="false">Historicals!D40</f>
        <v>1412</v>
      </c>
      <c r="C14" s="34" t="n">
        <f aca="false">Historicals!F40+(Inputs!$B$5+Inputs!$P$60)*Historicals!G26</f>
        <v>5099.39177845089</v>
      </c>
      <c r="D14" s="34" t="n">
        <f aca="false">D5*Inputs!$P$83</f>
        <v>8676.48</v>
      </c>
      <c r="E14" s="34" t="n">
        <f aca="false">E5*Inputs!$P$84</f>
        <v>11767.476</v>
      </c>
      <c r="F14" s="34" t="n">
        <f aca="false">F5*Inputs!$P$85</f>
        <v>13616.6508</v>
      </c>
      <c r="G14" s="34" t="n">
        <f aca="false">G5*Inputs!$P$86</f>
        <v>17020.8135</v>
      </c>
    </row>
    <row r="15" customFormat="false" ht="15" hidden="false" customHeight="true" outlineLevel="0" collapsed="false">
      <c r="A15" s="13" t="s">
        <v>557</v>
      </c>
      <c r="B15" s="41" t="n">
        <f aca="false">Historicals!D38</f>
        <v>1500</v>
      </c>
      <c r="C15" s="41" t="n">
        <f aca="false">Inputs!$B$37</f>
        <v>2000</v>
      </c>
      <c r="D15" s="33" t="n">
        <v>0</v>
      </c>
      <c r="E15" s="33" t="n">
        <v>0</v>
      </c>
      <c r="F15" s="33" t="n">
        <v>0</v>
      </c>
      <c r="G15" s="33" t="n">
        <v>0</v>
      </c>
    </row>
    <row r="16" customFormat="false" ht="15" hidden="false" customHeight="true" outlineLevel="0" collapsed="false">
      <c r="A16" s="13" t="s">
        <v>255</v>
      </c>
      <c r="B16" s="36" t="n">
        <f aca="false">B10+B11+B13+B14+B15</f>
        <v>12645</v>
      </c>
      <c r="C16" s="36" t="n">
        <f aca="false">C10+C11+C13+C14+C15</f>
        <v>52546.4236694072</v>
      </c>
      <c r="D16" s="36" t="n">
        <f aca="false">D10+D11+D13+D14+D15</f>
        <v>86529.97</v>
      </c>
      <c r="E16" s="36" t="n">
        <f aca="false">E10+E11+E13+E14+E15</f>
        <v>124655.0365</v>
      </c>
      <c r="F16" s="36" t="n">
        <f aca="false">F10+F11+F13+F14+F15</f>
        <v>158269.14445</v>
      </c>
      <c r="G16" s="36" t="n">
        <f aca="false">G10+G11+G13+G14+G15</f>
        <v>190830.75006</v>
      </c>
    </row>
    <row r="17" customFormat="false" ht="15" hidden="false" customHeight="true" outlineLevel="0" collapsed="false">
      <c r="A17" s="10" t="s">
        <v>558</v>
      </c>
      <c r="B17" s="35" t="n">
        <f aca="false">B5-B16</f>
        <v>-8060</v>
      </c>
      <c r="C17" s="35" t="n">
        <f aca="false">C5-C16</f>
        <v>1681.57633059282</v>
      </c>
      <c r="D17" s="35" t="n">
        <f aca="false">D5-D16</f>
        <v>21926.03</v>
      </c>
      <c r="E17" s="35" t="n">
        <f aca="false">E5-E16</f>
        <v>43451.7635</v>
      </c>
      <c r="F17" s="35" t="n">
        <f aca="false">F5-F16</f>
        <v>68675.03555</v>
      </c>
      <c r="G17" s="35" t="n">
        <f aca="false">G5-G16</f>
        <v>92849.4749400001</v>
      </c>
    </row>
    <row r="18" customFormat="false" ht="15" hidden="false" customHeight="true" outlineLevel="0" collapsed="false">
      <c r="A18" s="13" t="s">
        <v>559</v>
      </c>
      <c r="B18" s="16" t="n">
        <f aca="false">IFERROR(B17/B5,0)</f>
        <v>-1.75790621592148</v>
      </c>
      <c r="C18" s="16" t="n">
        <f aca="false">IFERROR(C17/C5,0)</f>
        <v>0.0310093739505942</v>
      </c>
      <c r="D18" s="16" t="n">
        <f aca="false">IFERROR(D17/D5,0)</f>
        <v>0.202165209854688</v>
      </c>
      <c r="E18" s="16" t="n">
        <f aca="false">IFERROR(E17/E5,0)</f>
        <v>0.258477131799546</v>
      </c>
      <c r="F18" s="16" t="n">
        <f aca="false">IFERROR(F17/F5,0)</f>
        <v>0.302607608399563</v>
      </c>
      <c r="G18" s="16" t="n">
        <f aca="false">IFERROR(G17/G5,0)</f>
        <v>0.327303304063581</v>
      </c>
    </row>
    <row r="19" customFormat="false" ht="15" hidden="false" customHeight="true" outlineLevel="0" collapsed="false">
      <c r="A19" s="13" t="s">
        <v>560</v>
      </c>
      <c r="B19" s="16" t="n">
        <f aca="false">IFERROR(B10/B5,0)</f>
        <v>1.59781897491821</v>
      </c>
      <c r="C19" s="16" t="n">
        <f aca="false">IFERROR(C10/C5,0)</f>
        <v>0.479805635465073</v>
      </c>
      <c r="D19" s="16" t="n">
        <f aca="false">IFERROR(D10/D5,0)</f>
        <v>0.407834790145312</v>
      </c>
      <c r="E19" s="16" t="n">
        <f aca="false">IFERROR(E10/E5,0)</f>
        <v>0.381522868200454</v>
      </c>
      <c r="F19" s="16" t="n">
        <f aca="false">IFERROR(F10/F5,0)</f>
        <v>0.367392391600437</v>
      </c>
      <c r="G19" s="16" t="n">
        <f aca="false">IFERROR(G10/G5,0)</f>
        <v>0.352696695936419</v>
      </c>
    </row>
    <row r="20" customFormat="false" ht="15" hidden="false" customHeight="true" outlineLevel="0" collapsed="false">
      <c r="A20" s="13" t="s">
        <v>561</v>
      </c>
      <c r="C20" s="34" t="n">
        <f aca="false">Historicals!$B$78+Inputs!$B$37</f>
        <v>2126</v>
      </c>
      <c r="D20" s="33" t="n">
        <v>0</v>
      </c>
      <c r="E20" s="33" t="n">
        <v>0</v>
      </c>
      <c r="F20" s="33" t="n">
        <v>0</v>
      </c>
      <c r="G20" s="33" t="n">
        <v>0</v>
      </c>
    </row>
    <row r="21" customFormat="false" ht="15" hidden="false" customHeight="true" outlineLevel="0" collapsed="false">
      <c r="A21" s="13" t="s">
        <v>562</v>
      </c>
      <c r="D21" s="52" t="n">
        <f aca="false">1/(1+Inputs!$B$19+Inputs!$P$89)^1</f>
        <v>0.892857142857143</v>
      </c>
      <c r="E21" s="52" t="n">
        <f aca="false">1/(1+Inputs!$B$19+Inputs!$P$89)^2</f>
        <v>0.79719387755102</v>
      </c>
      <c r="F21" s="52" t="n">
        <f aca="false">1/(1+Inputs!$B$19+Inputs!$P$89)^3</f>
        <v>0.711780247813411</v>
      </c>
      <c r="G21" s="52" t="n">
        <f aca="false">1/(1+Inputs!$B$19+Inputs!$P$89)^4</f>
        <v>0.635518078404831</v>
      </c>
    </row>
    <row r="23" customFormat="false" ht="15" hidden="false" customHeight="true" outlineLevel="0" collapsed="false">
      <c r="A23" s="37" t="s">
        <v>563</v>
      </c>
      <c r="B23" s="38"/>
      <c r="C23" s="38"/>
      <c r="D23" s="38"/>
      <c r="E23" s="38"/>
      <c r="F23" s="38"/>
      <c r="G23" s="38"/>
    </row>
    <row r="24" customFormat="false" ht="15" hidden="false" customHeight="true" outlineLevel="0" collapsed="false">
      <c r="A24" s="13" t="s">
        <v>564</v>
      </c>
      <c r="C24" s="39" t="n">
        <v>0</v>
      </c>
      <c r="D24" s="19" t="n">
        <f aca="false">Inputs!$C$97</f>
        <v>0.02</v>
      </c>
      <c r="E24" s="19" t="n">
        <f aca="false">Inputs!$C$98</f>
        <v>0.05</v>
      </c>
      <c r="F24" s="19" t="n">
        <f aca="false">Inputs!$C$99</f>
        <v>0.1</v>
      </c>
      <c r="G24" s="19" t="n">
        <f aca="false">Inputs!$C$100</f>
        <v>0.15</v>
      </c>
    </row>
    <row r="25" customFormat="false" ht="15" hidden="false" customHeight="true" outlineLevel="0" collapsed="false">
      <c r="A25" s="13" t="s">
        <v>565</v>
      </c>
      <c r="C25" s="34" t="n">
        <f aca="false">C5*C24</f>
        <v>0</v>
      </c>
      <c r="D25" s="34" t="n">
        <f aca="false">D5*D24</f>
        <v>2169.12</v>
      </c>
      <c r="E25" s="34" t="n">
        <f aca="false">E5*E24</f>
        <v>8405.34</v>
      </c>
      <c r="F25" s="34" t="n">
        <f aca="false">F5*F24</f>
        <v>22694.418</v>
      </c>
      <c r="G25" s="34" t="n">
        <f aca="false">G5*G24</f>
        <v>42552.03375</v>
      </c>
    </row>
    <row r="26" customFormat="false" ht="15" hidden="false" customHeight="true" outlineLevel="0" collapsed="false">
      <c r="A26" s="13" t="s">
        <v>566</v>
      </c>
      <c r="C26" s="53" t="n">
        <f aca="false">Inputs!$C$101</f>
        <v>8</v>
      </c>
      <c r="D26" s="53" t="n">
        <f aca="false">Inputs!$C$101</f>
        <v>8</v>
      </c>
      <c r="E26" s="53" t="n">
        <f aca="false">Inputs!$C$101</f>
        <v>8</v>
      </c>
      <c r="F26" s="53" t="n">
        <f aca="false">Inputs!$C$101</f>
        <v>8</v>
      </c>
      <c r="G26" s="53" t="n">
        <f aca="false">Inputs!$C$101</f>
        <v>8</v>
      </c>
    </row>
    <row r="27" customFormat="false" ht="15" hidden="false" customHeight="true" outlineLevel="0" collapsed="false">
      <c r="A27" s="13" t="s">
        <v>567</v>
      </c>
      <c r="C27" s="34" t="n">
        <f aca="false">C25*C26</f>
        <v>0</v>
      </c>
      <c r="D27" s="34" t="n">
        <f aca="false">D25*D26</f>
        <v>17352.96</v>
      </c>
      <c r="E27" s="34" t="n">
        <f aca="false">E25*E26</f>
        <v>67242.72</v>
      </c>
      <c r="F27" s="34" t="n">
        <f aca="false">F25*F26</f>
        <v>181555.344</v>
      </c>
      <c r="G27" s="34" t="n">
        <f aca="false">G25*G26</f>
        <v>340416.27</v>
      </c>
    </row>
    <row r="28" customFormat="false" ht="15" hidden="false" customHeight="true" outlineLevel="0" collapsed="false">
      <c r="A28" s="13" t="s">
        <v>568</v>
      </c>
      <c r="C28" s="19" t="n">
        <f aca="false">Inputs!$C$102</f>
        <v>0.15</v>
      </c>
      <c r="D28" s="19" t="n">
        <f aca="false">Inputs!$C$102</f>
        <v>0.15</v>
      </c>
      <c r="E28" s="19" t="n">
        <f aca="false">Inputs!$C$102</f>
        <v>0.15</v>
      </c>
      <c r="F28" s="19" t="n">
        <f aca="false">Inputs!$C$102</f>
        <v>0.15</v>
      </c>
      <c r="G28" s="19" t="n">
        <f aca="false">Inputs!$C$102</f>
        <v>0.15</v>
      </c>
    </row>
    <row r="29" customFormat="false" ht="15" hidden="false" customHeight="true" outlineLevel="0" collapsed="false">
      <c r="A29" s="10" t="s">
        <v>569</v>
      </c>
      <c r="C29" s="36" t="n">
        <f aca="false">C27*C28</f>
        <v>0</v>
      </c>
      <c r="D29" s="36" t="n">
        <f aca="false">D27*D28</f>
        <v>2602.944</v>
      </c>
      <c r="E29" s="36" t="n">
        <f aca="false">E27*E28</f>
        <v>10086.408</v>
      </c>
      <c r="F29" s="36" t="n">
        <f aca="false">F27*F28</f>
        <v>27233.3016</v>
      </c>
      <c r="G29" s="36" t="n">
        <f aca="false">G27*G28</f>
        <v>51062.4405</v>
      </c>
    </row>
    <row r="30" customFormat="false" ht="15" hidden="false" customHeight="true" outlineLevel="0" collapsed="false">
      <c r="A30" s="13" t="s">
        <v>570</v>
      </c>
      <c r="C30" s="34" t="n">
        <f aca="false">C25*Inputs!$C$103</f>
        <v>0</v>
      </c>
      <c r="D30" s="34" t="n">
        <f aca="false">D25*Inputs!$C$103</f>
        <v>650.736</v>
      </c>
      <c r="E30" s="34" t="n">
        <f aca="false">E25*Inputs!$C$103</f>
        <v>2521.602</v>
      </c>
      <c r="F30" s="34" t="n">
        <f aca="false">F25*Inputs!$C$103</f>
        <v>6808.3254</v>
      </c>
      <c r="G30" s="34" t="n">
        <f aca="false">G25*Inputs!$C$103</f>
        <v>12765.610125</v>
      </c>
    </row>
    <row r="31" customFormat="false" ht="15" hidden="false" customHeight="true" outlineLevel="0" collapsed="false">
      <c r="A31" s="13" t="s">
        <v>571</v>
      </c>
      <c r="C31" s="34" t="n">
        <f aca="false">C29-C30</f>
        <v>0</v>
      </c>
      <c r="D31" s="34" t="n">
        <f aca="false">D29-D30</f>
        <v>1952.208</v>
      </c>
      <c r="E31" s="34" t="n">
        <f aca="false">E29-E30</f>
        <v>7564.806</v>
      </c>
      <c r="F31" s="34" t="n">
        <f aca="false">F29-F30</f>
        <v>20424.9762</v>
      </c>
      <c r="G31" s="34" t="n">
        <f aca="false">G29-G30</f>
        <v>38296.830375</v>
      </c>
    </row>
    <row r="32" customFormat="false" ht="15" hidden="false" customHeight="true" outlineLevel="0" collapsed="false">
      <c r="A32" s="13" t="s">
        <v>572</v>
      </c>
      <c r="C32" s="34" t="n">
        <f aca="false">C29*Inputs!$C$104</f>
        <v>0</v>
      </c>
      <c r="D32" s="34" t="n">
        <f aca="false">D29*Inputs!$C$104</f>
        <v>520.5888</v>
      </c>
      <c r="E32" s="34" t="n">
        <f aca="false">E29*Inputs!$C$104</f>
        <v>2017.2816</v>
      </c>
      <c r="F32" s="34" t="n">
        <f aca="false">F29*Inputs!$C$104</f>
        <v>5446.66032</v>
      </c>
      <c r="G32" s="34" t="n">
        <f aca="false">G29*Inputs!$C$104</f>
        <v>10212.4881</v>
      </c>
    </row>
    <row r="33" customFormat="false" ht="15" hidden="false" customHeight="true" outlineLevel="0" collapsed="false">
      <c r="A33" s="13" t="s">
        <v>573</v>
      </c>
      <c r="C33" s="34" t="n">
        <f aca="false">C29*Inputs!$C$105</f>
        <v>0</v>
      </c>
      <c r="D33" s="34" t="n">
        <f aca="false">D29*Inputs!$C$105</f>
        <v>390.4416</v>
      </c>
      <c r="E33" s="34" t="n">
        <f aca="false">E29*Inputs!$C$105</f>
        <v>1512.9612</v>
      </c>
      <c r="F33" s="34" t="n">
        <f aca="false">F29*Inputs!$C$105</f>
        <v>4084.99524</v>
      </c>
      <c r="G33" s="34" t="n">
        <f aca="false">G29*Inputs!$C$105</f>
        <v>7659.366075</v>
      </c>
    </row>
    <row r="34" customFormat="false" ht="15" hidden="false" customHeight="true" outlineLevel="0" collapsed="false">
      <c r="A34" s="13" t="s">
        <v>574</v>
      </c>
      <c r="C34" s="34" t="n">
        <f aca="false">C29*Inputs!$C$106</f>
        <v>0</v>
      </c>
      <c r="D34" s="34" t="n">
        <f aca="false">D29*Inputs!$C$106</f>
        <v>260.2944</v>
      </c>
      <c r="E34" s="34" t="n">
        <f aca="false">E29*Inputs!$C$106</f>
        <v>1008.6408</v>
      </c>
      <c r="F34" s="34" t="n">
        <f aca="false">F29*Inputs!$C$106</f>
        <v>2723.33016</v>
      </c>
      <c r="G34" s="34" t="n">
        <f aca="false">G29*Inputs!$C$106</f>
        <v>5106.24405</v>
      </c>
    </row>
    <row r="35" customFormat="false" ht="15" hidden="false" customHeight="true" outlineLevel="0" collapsed="false">
      <c r="A35" s="10" t="s">
        <v>575</v>
      </c>
      <c r="C35" s="35" t="n">
        <f aca="false">C29-C30-C32-C33-C34</f>
        <v>0</v>
      </c>
      <c r="D35" s="35" t="n">
        <f aca="false">D29-D30-D32-D33-D34</f>
        <v>780.8832</v>
      </c>
      <c r="E35" s="35" t="n">
        <f aca="false">E29-E30-E32-E33-E34</f>
        <v>3025.9224</v>
      </c>
      <c r="F35" s="35" t="n">
        <f aca="false">F29-F30-F32-F33-F34</f>
        <v>8169.99048</v>
      </c>
      <c r="G35" s="35" t="n">
        <f aca="false">G29-G30-G32-G33-G34</f>
        <v>15318.73215</v>
      </c>
    </row>
    <row r="36" customFormat="false" ht="15" hidden="false" customHeight="true" outlineLevel="0" collapsed="false">
      <c r="A36" s="13" t="s">
        <v>91</v>
      </c>
      <c r="C36" s="54" t="n">
        <f aca="false">IFERROR(C27/Inputs!$B$27,0)</f>
        <v>0</v>
      </c>
      <c r="D36" s="54" t="n">
        <f aca="false">IFERROR(D27/Inputs!$B$27,0)</f>
        <v>0.000433824</v>
      </c>
      <c r="E36" s="54" t="n">
        <f aca="false">IFERROR(E27/Inputs!$B$27,0)</f>
        <v>0.001681068</v>
      </c>
      <c r="F36" s="54" t="n">
        <f aca="false">IFERROR(F27/Inputs!$B$27,0)</f>
        <v>0.0045388836</v>
      </c>
      <c r="G36" s="54" t="n">
        <f aca="false">IFERROR(G27/Inputs!$B$27,0)</f>
        <v>0.00851040675</v>
      </c>
    </row>
    <row r="37" customFormat="false" ht="15" hidden="false" customHeight="true" outlineLevel="0" collapsed="false">
      <c r="A37" s="13" t="s">
        <v>576</v>
      </c>
      <c r="C37" s="34" t="n">
        <f aca="false">CHOOSE(Inputs!$B$35,C31*Inputs!B$55,C29*Inputs!$B$36,0)</f>
        <v>0</v>
      </c>
      <c r="D37" s="34" t="n">
        <f aca="false">CHOOSE(Inputs!$B$35,D31*Inputs!C$55,D29*Inputs!$B$36,0)</f>
        <v>78.08832</v>
      </c>
      <c r="E37" s="34" t="n">
        <f aca="false">CHOOSE(Inputs!$B$35,E31*Inputs!D$55,E29*Inputs!$B$36,0)</f>
        <v>378.2403</v>
      </c>
      <c r="F37" s="34" t="n">
        <f aca="false">CHOOSE(Inputs!$B$35,F31*Inputs!E$55,F29*Inputs!$B$36,0)</f>
        <v>1021.24881</v>
      </c>
      <c r="G37" s="34" t="n">
        <f aca="false">CHOOSE(Inputs!$B$35,G31*Inputs!F$55,G29*Inputs!$B$36,0)</f>
        <v>1914.84151875</v>
      </c>
    </row>
    <row r="38" customFormat="false" ht="15" hidden="false" customHeight="true" outlineLevel="0" collapsed="false">
      <c r="A38" s="13" t="s">
        <v>577</v>
      </c>
      <c r="C38" s="33" t="n">
        <v>0</v>
      </c>
      <c r="D38" s="34" t="n">
        <f aca="false">-(D29-C29)*Inputs!$B$34/365</f>
        <v>-0</v>
      </c>
      <c r="E38" s="34" t="n">
        <f aca="false">-(E29-D29)*Inputs!$B$34/365</f>
        <v>-0</v>
      </c>
      <c r="F38" s="34" t="n">
        <f aca="false">-(F29-E29)*Inputs!$B$34/365</f>
        <v>-0</v>
      </c>
      <c r="G38" s="34" t="n">
        <f aca="false">-(G29-F29)*Inputs!$B$34/365</f>
        <v>-0</v>
      </c>
    </row>
    <row r="40" customFormat="false" ht="15" hidden="false" customHeight="true" outlineLevel="0" collapsed="false">
      <c r="A40" s="37" t="s">
        <v>578</v>
      </c>
      <c r="B40" s="38"/>
      <c r="C40" s="38"/>
      <c r="D40" s="38"/>
      <c r="E40" s="38"/>
      <c r="F40" s="38"/>
      <c r="G40" s="38"/>
    </row>
    <row r="41" customFormat="false" ht="15" hidden="false" customHeight="true" outlineLevel="0" collapsed="false">
      <c r="A41" s="13" t="s">
        <v>579</v>
      </c>
      <c r="C41" s="33" t="n">
        <v>0</v>
      </c>
      <c r="D41" s="34" t="n">
        <f aca="false">C46</f>
        <v>0</v>
      </c>
      <c r="E41" s="34" t="n">
        <f aca="false">D46</f>
        <v>200000</v>
      </c>
      <c r="F41" s="34" t="n">
        <f aca="false">E46</f>
        <v>135863.4115</v>
      </c>
      <c r="G41" s="34" t="n">
        <f aca="false">F46</f>
        <v>66666.6666666667</v>
      </c>
    </row>
    <row r="42" customFormat="false" ht="15" hidden="false" customHeight="true" outlineLevel="0" collapsed="false">
      <c r="A42" s="13" t="s">
        <v>580</v>
      </c>
      <c r="C42" s="33" t="n">
        <v>0</v>
      </c>
      <c r="D42" s="34" t="n">
        <f aca="false">Inputs!$P$92</f>
        <v>200000</v>
      </c>
      <c r="E42" s="33" t="n">
        <v>0</v>
      </c>
      <c r="F42" s="33" t="n">
        <v>0</v>
      </c>
      <c r="G42" s="33" t="n">
        <v>0</v>
      </c>
    </row>
    <row r="43" customFormat="false" ht="15" hidden="false" customHeight="true" outlineLevel="0" collapsed="false">
      <c r="A43" s="13" t="s">
        <v>581</v>
      </c>
      <c r="C43" s="34" t="n">
        <f aca="false">MAX(0,0)</f>
        <v>0</v>
      </c>
      <c r="D43" s="34" t="n">
        <f aca="false">MAX(0,0)</f>
        <v>0</v>
      </c>
      <c r="E43" s="34" t="n">
        <f aca="false">MAX(0,$D$42/Inputs!$B$40*MIN(1,Inputs!$B$40)-SUM($C45:D45))</f>
        <v>66666.6666666667</v>
      </c>
      <c r="F43" s="34" t="n">
        <f aca="false">MAX(0,$D$42/Inputs!$B$40*MIN(2,Inputs!$B$40)-SUM($C45:E45))</f>
        <v>69196.7448333333</v>
      </c>
      <c r="G43" s="34" t="n">
        <f aca="false">MAX(0,$D$42/Inputs!$B$40*MIN(3,Inputs!$B$40)-SUM($C45:F45))</f>
        <v>66666.6666666667</v>
      </c>
    </row>
    <row r="44" customFormat="false" ht="15" hidden="false" customHeight="true" outlineLevel="0" collapsed="false">
      <c r="A44" s="13" t="s">
        <v>582</v>
      </c>
      <c r="C44" s="34" t="n">
        <f aca="false">C10*Inputs!$B$39</f>
        <v>26018.9</v>
      </c>
      <c r="D44" s="34" t="n">
        <f aca="false">D10*Inputs!$B$39</f>
        <v>44232.13</v>
      </c>
      <c r="E44" s="34" t="n">
        <f aca="false">E10*Inputs!$B$39</f>
        <v>64136.5885</v>
      </c>
      <c r="F44" s="34" t="n">
        <f aca="false">F10*Inputs!$B$39</f>
        <v>83377.56505</v>
      </c>
      <c r="G44" s="34" t="n">
        <f aca="false">G10*Inputs!$B$39</f>
        <v>100053.07806</v>
      </c>
    </row>
    <row r="45" customFormat="false" ht="15" hidden="false" customHeight="true" outlineLevel="0" collapsed="false">
      <c r="A45" s="10" t="s">
        <v>583</v>
      </c>
      <c r="C45" s="36" t="n">
        <f aca="false">MAX(0,MIN(C41+C42,C43,C44))</f>
        <v>0</v>
      </c>
      <c r="D45" s="36" t="n">
        <f aca="false">MAX(0,MIN(D41+D42,D43,D44))</f>
        <v>0</v>
      </c>
      <c r="E45" s="36" t="n">
        <f aca="false">MAX(0,MIN(E41+E42,E43,E44))</f>
        <v>64136.5885</v>
      </c>
      <c r="F45" s="36" t="n">
        <f aca="false">MAX(0,MIN(F41+F42,F43,F44))</f>
        <v>69196.7448333333</v>
      </c>
      <c r="G45" s="36" t="n">
        <f aca="false">MAX(0,MIN(G41+G42,G43,G44))</f>
        <v>66666.6666666667</v>
      </c>
    </row>
    <row r="46" customFormat="false" ht="15" hidden="false" customHeight="true" outlineLevel="0" collapsed="false">
      <c r="A46" s="10" t="s">
        <v>584</v>
      </c>
      <c r="C46" s="36" t="n">
        <f aca="false">C41+C42-C45</f>
        <v>0</v>
      </c>
      <c r="D46" s="36" t="n">
        <f aca="false">D41+D42-D45</f>
        <v>200000</v>
      </c>
      <c r="E46" s="36" t="n">
        <f aca="false">E41+E42-E45</f>
        <v>135863.4115</v>
      </c>
      <c r="F46" s="36" t="n">
        <f aca="false">F41+F42-F45</f>
        <v>66666.6666666667</v>
      </c>
      <c r="G46" s="36" t="n">
        <f aca="false">G41+G42-G45</f>
        <v>0</v>
      </c>
    </row>
    <row r="48" customFormat="false" ht="15" hidden="false" customHeight="true" outlineLevel="0" collapsed="false">
      <c r="A48" s="37" t="s">
        <v>585</v>
      </c>
      <c r="B48" s="38"/>
      <c r="C48" s="38"/>
      <c r="D48" s="38"/>
      <c r="E48" s="38"/>
      <c r="F48" s="38"/>
      <c r="G48" s="38"/>
    </row>
    <row r="49" customFormat="false" ht="15" hidden="false" customHeight="true" outlineLevel="0" collapsed="false">
      <c r="A49" s="13" t="s">
        <v>249</v>
      </c>
      <c r="C49" s="34" t="n">
        <f aca="false">C5</f>
        <v>54228</v>
      </c>
      <c r="D49" s="34" t="n">
        <f aca="false">D5</f>
        <v>108456</v>
      </c>
      <c r="E49" s="34" t="n">
        <f aca="false">E5</f>
        <v>168106.8</v>
      </c>
      <c r="F49" s="34" t="n">
        <f aca="false">F5</f>
        <v>226944.18</v>
      </c>
      <c r="G49" s="34" t="n">
        <f aca="false">G5</f>
        <v>283680.225</v>
      </c>
    </row>
    <row r="50" customFormat="false" ht="15" hidden="false" customHeight="true" outlineLevel="0" collapsed="false">
      <c r="A50" s="13" t="s">
        <v>558</v>
      </c>
      <c r="C50" s="34" t="n">
        <f aca="false">C17</f>
        <v>1681.57633059282</v>
      </c>
      <c r="D50" s="34" t="n">
        <f aca="false">D17</f>
        <v>21926.03</v>
      </c>
      <c r="E50" s="34" t="n">
        <f aca="false">E17</f>
        <v>43451.7635</v>
      </c>
      <c r="F50" s="34" t="n">
        <f aca="false">F17</f>
        <v>68675.03555</v>
      </c>
      <c r="G50" s="34" t="n">
        <f aca="false">G17</f>
        <v>92849.4749400001</v>
      </c>
    </row>
    <row r="51" customFormat="false" ht="15" hidden="false" customHeight="true" outlineLevel="0" collapsed="false">
      <c r="A51" s="13" t="s">
        <v>586</v>
      </c>
      <c r="C51" s="34" t="n">
        <f aca="false">C5*Inputs!B$55</f>
        <v>1626.84</v>
      </c>
      <c r="D51" s="34" t="n">
        <f aca="false">D5*Inputs!C$55</f>
        <v>4338.24</v>
      </c>
      <c r="E51" s="34" t="n">
        <f aca="false">E5*Inputs!D$55</f>
        <v>8405.34</v>
      </c>
      <c r="F51" s="34" t="n">
        <f aca="false">F5*Inputs!E$55</f>
        <v>11347.209</v>
      </c>
      <c r="G51" s="34" t="n">
        <f aca="false">G5*Inputs!F$55</f>
        <v>14184.01125</v>
      </c>
    </row>
    <row r="52" customFormat="false" ht="15" hidden="false" customHeight="true" outlineLevel="0" collapsed="false">
      <c r="A52" s="13" t="s">
        <v>587</v>
      </c>
      <c r="C52" s="33" t="n">
        <v>0</v>
      </c>
      <c r="D52" s="34" t="n">
        <f aca="false">SUMPRODUCT($D51:D51,--((4-COLUMN($D51:D51))&lt;Inputs!$B$32))/Inputs!$B$32</f>
        <v>867.648</v>
      </c>
      <c r="E52" s="34" t="n">
        <f aca="false">SUMPRODUCT($D51:E51,--((5-COLUMN($D51:E51))&lt;Inputs!$B$32))/Inputs!$B$32</f>
        <v>2548.716</v>
      </c>
      <c r="F52" s="34" t="n">
        <f aca="false">SUMPRODUCT($D51:F51,--((6-COLUMN($D51:F51))&lt;Inputs!$B$32))/Inputs!$B$32</f>
        <v>4818.1578</v>
      </c>
      <c r="G52" s="34" t="n">
        <f aca="false">SUMPRODUCT($D51:G51,--((7-COLUMN($D51:G51))&lt;Inputs!$B$32))/Inputs!$B$32</f>
        <v>7654.96005</v>
      </c>
    </row>
    <row r="53" customFormat="false" ht="15" hidden="false" customHeight="true" outlineLevel="0" collapsed="false">
      <c r="A53" s="10" t="s">
        <v>588</v>
      </c>
      <c r="C53" s="36" t="n">
        <f aca="false">C50-C52</f>
        <v>1681.57633059282</v>
      </c>
      <c r="D53" s="36" t="n">
        <f aca="false">D50-D52</f>
        <v>21058.382</v>
      </c>
      <c r="E53" s="36" t="n">
        <f aca="false">E50-E52</f>
        <v>40903.0475</v>
      </c>
      <c r="F53" s="36" t="n">
        <f aca="false">F50-F52</f>
        <v>63856.87775</v>
      </c>
      <c r="G53" s="36" t="n">
        <f aca="false">G50-G52</f>
        <v>85194.5148900001</v>
      </c>
    </row>
    <row r="54" customFormat="false" ht="15" hidden="false" customHeight="true" outlineLevel="0" collapsed="false">
      <c r="A54" s="13" t="s">
        <v>589</v>
      </c>
      <c r="C54" s="16" t="n">
        <f aca="false">IFERROR(C53/C49,0)</f>
        <v>0.0310093739505942</v>
      </c>
      <c r="D54" s="16" t="n">
        <f aca="false">IFERROR(D53/D49,0)</f>
        <v>0.194165209854688</v>
      </c>
      <c r="E54" s="16" t="n">
        <f aca="false">IFERROR(E53/E49,0)</f>
        <v>0.243315841476966</v>
      </c>
      <c r="F54" s="16" t="n">
        <f aca="false">IFERROR(F53/F49,0)</f>
        <v>0.28137702297543</v>
      </c>
      <c r="G54" s="16" t="n">
        <f aca="false">IFERROR(G53/G49,0)</f>
        <v>0.300318835724274</v>
      </c>
    </row>
    <row r="55" customFormat="false" ht="15" hidden="false" customHeight="true" outlineLevel="0" collapsed="false">
      <c r="A55" s="13" t="s">
        <v>590</v>
      </c>
      <c r="C55" s="34" t="n">
        <f aca="false">Historicals!F43+C80*Inputs!$B$20/2</f>
        <v>2756.6375</v>
      </c>
      <c r="D55" s="34" t="n">
        <f aca="false">MAX(0,D80-D81)*Inputs!$B$20</f>
        <v>0</v>
      </c>
      <c r="E55" s="34" t="n">
        <f aca="false">MAX(0,E80-E81)*Inputs!$B$20</f>
        <v>0</v>
      </c>
      <c r="F55" s="34" t="n">
        <f aca="false">MAX(0,F80-F81)*Inputs!$B$20</f>
        <v>1659.48618804606</v>
      </c>
      <c r="G55" s="34" t="n">
        <f aca="false">MAX(0,G80-G81)*Inputs!$B$20</f>
        <v>4861.38046994386</v>
      </c>
    </row>
    <row r="56" customFormat="false" ht="15" hidden="false" customHeight="true" outlineLevel="0" collapsed="false">
      <c r="A56" s="13" t="s">
        <v>591</v>
      </c>
      <c r="C56" s="41" t="n">
        <f aca="false">Inputs!B$56</f>
        <v>0</v>
      </c>
      <c r="D56" s="41" t="n">
        <f aca="false">Inputs!C$56</f>
        <v>0</v>
      </c>
      <c r="E56" s="41" t="n">
        <f aca="false">Inputs!D$56</f>
        <v>0</v>
      </c>
      <c r="F56" s="41" t="n">
        <f aca="false">Inputs!E$56</f>
        <v>0</v>
      </c>
      <c r="G56" s="41" t="n">
        <f aca="false">Inputs!F$56</f>
        <v>0</v>
      </c>
    </row>
    <row r="57" customFormat="false" ht="15" hidden="false" customHeight="true" outlineLevel="0" collapsed="false">
      <c r="A57" s="13" t="s">
        <v>592</v>
      </c>
      <c r="C57" s="34" t="n">
        <f aca="false">IF(Inputs!$B$51=2026,Inputs!$B$50,0)</f>
        <v>0</v>
      </c>
      <c r="D57" s="34" t="n">
        <f aca="false">IF(Inputs!$B$51=2027,Inputs!$B$50,0)</f>
        <v>0</v>
      </c>
      <c r="E57" s="34" t="n">
        <f aca="false">IF(Inputs!$B$51=2028,Inputs!$B$50,0)</f>
        <v>0</v>
      </c>
      <c r="F57" s="34" t="n">
        <f aca="false">IF(Inputs!$B$51=2029,Inputs!$B$50,0)</f>
        <v>0</v>
      </c>
      <c r="G57" s="34" t="n">
        <f aca="false">IF(Inputs!$B$51=2030,Inputs!$B$50,0)</f>
        <v>0</v>
      </c>
    </row>
    <row r="58" customFormat="false" ht="15" hidden="false" customHeight="true" outlineLevel="0" collapsed="false">
      <c r="A58" s="13" t="s">
        <v>593</v>
      </c>
      <c r="C58" s="34" t="n">
        <f aca="false">C53+C55+C56-C57</f>
        <v>4438.21383059282</v>
      </c>
      <c r="D58" s="34" t="n">
        <f aca="false">D53+D55+D56-D57</f>
        <v>21058.382</v>
      </c>
      <c r="E58" s="34" t="n">
        <f aca="false">E53+E55+E56-E57</f>
        <v>40903.0475</v>
      </c>
      <c r="F58" s="34" t="n">
        <f aca="false">F53+F55+F56-F57</f>
        <v>65516.3639380461</v>
      </c>
      <c r="G58" s="34" t="n">
        <f aca="false">G53+G55+G56-G57</f>
        <v>90055.895359944</v>
      </c>
    </row>
    <row r="59" customFormat="false" ht="15" hidden="false" customHeight="true" outlineLevel="0" collapsed="false">
      <c r="A59" s="13" t="s">
        <v>594</v>
      </c>
      <c r="C59" s="34" t="n">
        <f aca="false">C58*Inputs!$B$46</f>
        <v>3195.51395802683</v>
      </c>
      <c r="D59" s="34" t="n">
        <f aca="false">D58*Inputs!$B$46</f>
        <v>15162.03504</v>
      </c>
      <c r="E59" s="34" t="n">
        <f aca="false">E58*Inputs!$B$46</f>
        <v>29450.1942</v>
      </c>
      <c r="F59" s="34" t="n">
        <f aca="false">F58*Inputs!$B$46</f>
        <v>47171.7820353932</v>
      </c>
      <c r="G59" s="34" t="n">
        <f aca="false">G58*Inputs!$B$46</f>
        <v>64840.2446591597</v>
      </c>
    </row>
    <row r="60" customFormat="false" ht="15" hidden="false" customHeight="true" outlineLevel="0" collapsed="false">
      <c r="A60" s="13" t="s">
        <v>595</v>
      </c>
      <c r="C60" s="34" t="n">
        <f aca="false">Inputs!$B$48</f>
        <v>4200</v>
      </c>
      <c r="D60" s="34" t="n">
        <f aca="false">C62</f>
        <v>4200</v>
      </c>
      <c r="E60" s="34" t="n">
        <f aca="false">D62</f>
        <v>0</v>
      </c>
      <c r="F60" s="34" t="n">
        <f aca="false">E62</f>
        <v>0</v>
      </c>
      <c r="G60" s="34" t="n">
        <f aca="false">F62</f>
        <v>0</v>
      </c>
    </row>
    <row r="61" customFormat="false" ht="15" hidden="false" customHeight="true" outlineLevel="0" collapsed="false">
      <c r="A61" s="13" t="s">
        <v>596</v>
      </c>
      <c r="C61" s="34" t="n">
        <f aca="false">IF(AND(2026=2026,Inputs!$B$49=1),0,MIN(C60,MAX(0,C59)))</f>
        <v>0</v>
      </c>
      <c r="D61" s="34" t="n">
        <f aca="false">IF(AND(2027=2026,Inputs!$B$49=1),0,MIN(D60,MAX(0,D59)))</f>
        <v>4200</v>
      </c>
      <c r="E61" s="34" t="n">
        <f aca="false">IF(AND(2028=2026,Inputs!$B$49=1),0,MIN(E60,MAX(0,E59)))</f>
        <v>0</v>
      </c>
      <c r="F61" s="34" t="n">
        <f aca="false">IF(AND(2029=2026,Inputs!$B$49=1),0,MIN(F60,MAX(0,F59)))</f>
        <v>0</v>
      </c>
      <c r="G61" s="34" t="n">
        <f aca="false">IF(AND(2030=2026,Inputs!$B$49=1),0,MIN(G60,MAX(0,G59)))</f>
        <v>0</v>
      </c>
    </row>
    <row r="62" customFormat="false" ht="15" hidden="false" customHeight="true" outlineLevel="0" collapsed="false">
      <c r="A62" s="13" t="s">
        <v>597</v>
      </c>
      <c r="C62" s="34" t="n">
        <f aca="false">C60-C61+MAX(0,-C59)</f>
        <v>4200</v>
      </c>
      <c r="D62" s="34" t="n">
        <f aca="false">D60-D61+MAX(0,-D59)</f>
        <v>0</v>
      </c>
      <c r="E62" s="34" t="n">
        <f aca="false">E60-E61+MAX(0,-E59)</f>
        <v>0</v>
      </c>
      <c r="F62" s="34" t="n">
        <f aca="false">F60-F61+MAX(0,-F59)</f>
        <v>0</v>
      </c>
      <c r="G62" s="34" t="n">
        <f aca="false">G60-G61+MAX(0,-G59)</f>
        <v>0</v>
      </c>
    </row>
    <row r="63" customFormat="false" ht="15" hidden="false" customHeight="true" outlineLevel="0" collapsed="false">
      <c r="A63" s="13" t="s">
        <v>598</v>
      </c>
      <c r="C63" s="34" t="n">
        <f aca="false">MAX(0,C59-C61)*Inputs!$B$47</f>
        <v>191.73083748161</v>
      </c>
      <c r="D63" s="34" t="n">
        <f aca="false">MAX(0,D59-D61)*Inputs!$B$47</f>
        <v>657.7221024</v>
      </c>
      <c r="E63" s="34" t="n">
        <f aca="false">MAX(0,E59-E61)*Inputs!$B$47</f>
        <v>1767.011652</v>
      </c>
      <c r="F63" s="34" t="n">
        <f aca="false">MAX(0,F59-F61)*Inputs!$B$47</f>
        <v>2830.30692212359</v>
      </c>
      <c r="G63" s="34" t="n">
        <f aca="false">MAX(0,G59-G61)*Inputs!$B$47</f>
        <v>3890.41467954958</v>
      </c>
    </row>
    <row r="64" customFormat="false" ht="15" hidden="false" customHeight="true" outlineLevel="0" collapsed="false">
      <c r="A64" s="13" t="s">
        <v>599</v>
      </c>
      <c r="C64" s="34" t="n">
        <f aca="false">C58-C63</f>
        <v>4246.48299311121</v>
      </c>
      <c r="D64" s="34" t="n">
        <f aca="false">D58-D63</f>
        <v>20400.6598976</v>
      </c>
      <c r="E64" s="34" t="n">
        <f aca="false">E58-E63</f>
        <v>39136.035848</v>
      </c>
      <c r="F64" s="34" t="n">
        <f aca="false">F58-F63</f>
        <v>62686.0570159225</v>
      </c>
      <c r="G64" s="34" t="n">
        <f aca="false">G58-G63</f>
        <v>86165.4806803944</v>
      </c>
    </row>
    <row r="65" customFormat="false" ht="15" hidden="false" customHeight="true" outlineLevel="0" collapsed="false">
      <c r="A65" s="13" t="s">
        <v>600</v>
      </c>
      <c r="C65" s="34" t="n">
        <f aca="false">Inputs!$B$44</f>
        <v>8200</v>
      </c>
      <c r="D65" s="34" t="n">
        <f aca="false">C67</f>
        <v>4802.81360551103</v>
      </c>
      <c r="E65" s="34" t="n">
        <f aca="false">D67</f>
        <v>0</v>
      </c>
      <c r="F65" s="34" t="n">
        <f aca="false">E67</f>
        <v>0</v>
      </c>
      <c r="G65" s="34" t="n">
        <f aca="false">F67</f>
        <v>0</v>
      </c>
    </row>
    <row r="66" customFormat="false" ht="15" hidden="false" customHeight="true" outlineLevel="0" collapsed="false">
      <c r="A66" s="13" t="s">
        <v>601</v>
      </c>
      <c r="C66" s="34" t="n">
        <f aca="false">MIN(C65,Inputs!$B$45*MAX(0,C64))</f>
        <v>3397.18639448897</v>
      </c>
      <c r="D66" s="34" t="n">
        <f aca="false">MIN(D65,Inputs!$B$45*MAX(0,D64))</f>
        <v>4802.81360551103</v>
      </c>
      <c r="E66" s="34" t="n">
        <f aca="false">MIN(E65,Inputs!$B$45*MAX(0,E64))</f>
        <v>0</v>
      </c>
      <c r="F66" s="34" t="n">
        <f aca="false">MIN(F65,Inputs!$B$45*MAX(0,F64))</f>
        <v>0</v>
      </c>
      <c r="G66" s="34" t="n">
        <f aca="false">MIN(G65,Inputs!$B$45*MAX(0,G64))</f>
        <v>0</v>
      </c>
    </row>
    <row r="67" customFormat="false" ht="15" hidden="false" customHeight="true" outlineLevel="0" collapsed="false">
      <c r="A67" s="13" t="s">
        <v>602</v>
      </c>
      <c r="C67" s="34" t="n">
        <f aca="false">C65-C66+MAX(0,-C64)</f>
        <v>4802.81360551103</v>
      </c>
      <c r="D67" s="34" t="n">
        <f aca="false">D65-D66+MAX(0,-D64)</f>
        <v>0</v>
      </c>
      <c r="E67" s="34" t="n">
        <f aca="false">E65-E66+MAX(0,-E64)</f>
        <v>0</v>
      </c>
      <c r="F67" s="34" t="n">
        <f aca="false">F65-F66+MAX(0,-F64)</f>
        <v>0</v>
      </c>
      <c r="G67" s="34" t="n">
        <f aca="false">G65-G66+MAX(0,-G64)</f>
        <v>0</v>
      </c>
    </row>
    <row r="68" customFormat="false" ht="15" hidden="false" customHeight="true" outlineLevel="0" collapsed="false">
      <c r="A68" s="13" t="s">
        <v>603</v>
      </c>
      <c r="C68" s="34" t="n">
        <f aca="false">MAX(0,C64-C66)*Inputs!$B$43</f>
        <v>178.352285710671</v>
      </c>
      <c r="D68" s="34" t="n">
        <f aca="false">MAX(0,D64-D66)*Inputs!$B$43</f>
        <v>3275.54772133868</v>
      </c>
      <c r="E68" s="34" t="n">
        <f aca="false">MAX(0,E64-E66)*Inputs!$B$43</f>
        <v>8218.56752808</v>
      </c>
      <c r="F68" s="34" t="n">
        <f aca="false">MAX(0,F64-F66)*Inputs!$B$43</f>
        <v>13164.0719733437</v>
      </c>
      <c r="G68" s="34" t="n">
        <f aca="false">MAX(0,G64-G66)*Inputs!$B$43</f>
        <v>18094.7509428828</v>
      </c>
    </row>
    <row r="69" customFormat="false" ht="15" hidden="false" customHeight="true" outlineLevel="0" collapsed="false">
      <c r="A69" s="10" t="s">
        <v>604</v>
      </c>
      <c r="C69" s="36" t="n">
        <f aca="false">IF(Inputs!$P$90=0,MAX(0,C53+C55)*Inputs!B$54,IF(Inputs!$P$90=2,MAX(0,C58)*Inputs!$P$91,C63+C68))</f>
        <v>370.083123192281</v>
      </c>
      <c r="D69" s="36" t="n">
        <f aca="false">IF(Inputs!$P$90=0,MAX(0,D53+D55)*Inputs!C$54,IF(Inputs!$P$90=2,MAX(0,D58)*Inputs!$P$91,D63+D68))</f>
        <v>3933.26982373868</v>
      </c>
      <c r="E69" s="36" t="n">
        <f aca="false">IF(Inputs!$P$90=0,MAX(0,E53+E55)*Inputs!D$54,IF(Inputs!$P$90=2,MAX(0,E58)*Inputs!$P$91,E63+E68))</f>
        <v>9985.57918008</v>
      </c>
      <c r="F69" s="36" t="n">
        <f aca="false">IF(Inputs!$P$90=0,MAX(0,F53+F55)*Inputs!E$54,IF(Inputs!$P$90=2,MAX(0,F58)*Inputs!$P$91,F63+F68))</f>
        <v>15994.3788954673</v>
      </c>
      <c r="G69" s="36" t="n">
        <f aca="false">IF(Inputs!$P$90=0,MAX(0,G53+G55)*Inputs!F$54,IF(Inputs!$P$90=2,MAX(0,G58)*Inputs!$P$91,G63+G68))</f>
        <v>21985.1656224324</v>
      </c>
    </row>
    <row r="70" customFormat="false" ht="15" hidden="false" customHeight="true" outlineLevel="0" collapsed="false">
      <c r="A70" s="13" t="s">
        <v>605</v>
      </c>
      <c r="C70" s="16" t="n">
        <f aca="false">IF(C58&gt;0,MIN(1,C69/C58),0)</f>
        <v>0.0833856</v>
      </c>
      <c r="D70" s="16" t="n">
        <f aca="false">IF(D58&gt;0,MIN(1,D69/D58),0)</f>
        <v>0.186779298796018</v>
      </c>
      <c r="E70" s="16" t="n">
        <f aca="false">IF(E58&gt;0,MIN(1,E69/E58),0)</f>
        <v>0.244128</v>
      </c>
      <c r="F70" s="16" t="n">
        <f aca="false">IF(F58&gt;0,MIN(1,F69/F58),0)</f>
        <v>0.244128</v>
      </c>
      <c r="G70" s="16" t="n">
        <f aca="false">IF(G58&gt;0,MIN(1,G69/G58),0)</f>
        <v>0.244128</v>
      </c>
    </row>
    <row r="71" customFormat="false" ht="15" hidden="false" customHeight="true" outlineLevel="0" collapsed="false">
      <c r="A71" s="13" t="s">
        <v>606</v>
      </c>
      <c r="C71" s="34" t="n">
        <f aca="false">C53+C55-C69</f>
        <v>4068.13070740054</v>
      </c>
      <c r="D71" s="34" t="n">
        <f aca="false">D53+D55-D69</f>
        <v>17125.1121762613</v>
      </c>
      <c r="E71" s="34" t="n">
        <f aca="false">E53+E55-E69</f>
        <v>30917.46831992</v>
      </c>
      <c r="F71" s="34" t="n">
        <f aca="false">F53+F55-F69</f>
        <v>49521.9850425788</v>
      </c>
      <c r="G71" s="34" t="n">
        <f aca="false">G53+G55-G69</f>
        <v>68070.7297375116</v>
      </c>
    </row>
    <row r="72" customFormat="false" ht="15" hidden="false" customHeight="true" outlineLevel="0" collapsed="false">
      <c r="A72" s="13" t="s">
        <v>607</v>
      </c>
      <c r="C72" s="34" t="n">
        <f aca="false">C12+C20</f>
        <v>8451.61981826049</v>
      </c>
      <c r="D72" s="34" t="n">
        <f aca="false">D12+D20</f>
        <v>9761.04</v>
      </c>
      <c r="E72" s="34" t="n">
        <f aca="false">E12+E20</f>
        <v>13448.544</v>
      </c>
      <c r="F72" s="34" t="n">
        <f aca="false">F12+F20</f>
        <v>15886.0926</v>
      </c>
      <c r="G72" s="34" t="n">
        <f aca="false">G12+G20</f>
        <v>17020.8135</v>
      </c>
    </row>
    <row r="73" customFormat="false" ht="15" hidden="false" customHeight="true" outlineLevel="0" collapsed="false">
      <c r="A73" s="13" t="s">
        <v>608</v>
      </c>
      <c r="C73" s="33" t="n">
        <v>0</v>
      </c>
      <c r="D73" s="34" t="n">
        <f aca="false">-(D5-C5)*Inputs!$B$33</f>
        <v>-0</v>
      </c>
      <c r="E73" s="34" t="n">
        <f aca="false">-(E5-D5)*Inputs!$B$33</f>
        <v>-0</v>
      </c>
      <c r="F73" s="34" t="n">
        <f aca="false">-(F5-E5)*Inputs!$B$33</f>
        <v>-0</v>
      </c>
      <c r="G73" s="34" t="n">
        <f aca="false">-(G5-F5)*Inputs!$B$33</f>
        <v>-0</v>
      </c>
    </row>
    <row r="74" customFormat="false" ht="15" hidden="false" customHeight="true" outlineLevel="0" collapsed="false">
      <c r="A74" s="13" t="s">
        <v>609</v>
      </c>
      <c r="C74" s="34" t="n">
        <f aca="false">-C$42+C$45</f>
        <v>0</v>
      </c>
      <c r="D74" s="34" t="n">
        <f aca="false">-D$42+D$45</f>
        <v>-200000</v>
      </c>
      <c r="E74" s="34" t="n">
        <f aca="false">-E$42+E$45</f>
        <v>64136.5885</v>
      </c>
      <c r="F74" s="34" t="n">
        <f aca="false">-F$42+F$45</f>
        <v>69196.7448333333</v>
      </c>
      <c r="G74" s="34" t="n">
        <f aca="false">-G$42+G$45</f>
        <v>66666.6666666667</v>
      </c>
    </row>
    <row r="75" customFormat="false" ht="15" hidden="false" customHeight="true" outlineLevel="0" collapsed="false">
      <c r="A75" s="10" t="s">
        <v>610</v>
      </c>
      <c r="C75" s="36" t="n">
        <f aca="false">C53+C72+C52+C55-C69-C51+C73+C74</f>
        <v>10892.910525661</v>
      </c>
      <c r="D75" s="36" t="n">
        <f aca="false">D53+D72+D52+D55-D69-D51+D73+D74</f>
        <v>-176584.439823739</v>
      </c>
      <c r="E75" s="36" t="n">
        <f aca="false">E53+E72+E52+E55-E69-E51+E73+E74</f>
        <v>102645.97681992</v>
      </c>
      <c r="F75" s="36" t="n">
        <f aca="false">F53+F72+F52+F55-F69-F51+F73+F74</f>
        <v>128075.771275912</v>
      </c>
      <c r="G75" s="36" t="n">
        <f aca="false">G53+G72+G52+G55-G69-G51+G73+G74</f>
        <v>145229.158704178</v>
      </c>
    </row>
    <row r="76" customFormat="false" ht="15" hidden="false" customHeight="true" outlineLevel="0" collapsed="false">
      <c r="A76" s="10" t="s">
        <v>611</v>
      </c>
      <c r="C76" s="36" t="n">
        <f aca="false">C53+C52-(C69-C55*C70)-C51+C73+C74</f>
        <v>-85.4829206794611</v>
      </c>
      <c r="D76" s="36" t="n">
        <f aca="false">D53+D52-(D69-D55*D70)-D51+D73+D74</f>
        <v>-186345.479823739</v>
      </c>
      <c r="E76" s="36" t="n">
        <f aca="false">E53+E52-(E69-E55*E70)-E51+E73+E74</f>
        <v>89197.43281992</v>
      </c>
      <c r="F76" s="36" t="n">
        <f aca="false">F53+F52-(F69-F55*F70)-F51+F73+F74</f>
        <v>110935.319531981</v>
      </c>
      <c r="G76" s="36" t="n">
        <f aca="false">G53+G52-(G69-G55*G70)-G51+G73+G74</f>
        <v>124533.763825601</v>
      </c>
    </row>
    <row r="77" customFormat="false" ht="15" hidden="false" customHeight="true" outlineLevel="0" collapsed="false">
      <c r="A77" s="13" t="s">
        <v>612</v>
      </c>
      <c r="C77" s="16" t="n">
        <f aca="false">IFERROR(C76/C49,0)</f>
        <v>-0.00157636130190052</v>
      </c>
      <c r="D77" s="16" t="n">
        <f aca="false">IFERROR(D76/D49,0)</f>
        <v>-1.71816662816016</v>
      </c>
      <c r="E77" s="16" t="n">
        <f aca="false">IFERROR(E76/E49,0)</f>
        <v>0.530599790251911</v>
      </c>
      <c r="F77" s="16" t="n">
        <f aca="false">IFERROR(F76/F49,0)</f>
        <v>0.488822051008232</v>
      </c>
      <c r="G77" s="16" t="n">
        <f aca="false">IFERROR(G76/G49,0)</f>
        <v>0.438993461125465</v>
      </c>
    </row>
    <row r="79" customFormat="false" ht="15" hidden="false" customHeight="true" outlineLevel="0" collapsed="false">
      <c r="A79" s="8" t="s">
        <v>613</v>
      </c>
      <c r="B79" s="9"/>
      <c r="C79" s="9" t="s">
        <v>614</v>
      </c>
      <c r="D79" s="9" t="s">
        <v>547</v>
      </c>
      <c r="E79" s="9" t="s">
        <v>548</v>
      </c>
      <c r="F79" s="9" t="s">
        <v>549</v>
      </c>
      <c r="G79" s="9" t="s">
        <v>550</v>
      </c>
    </row>
    <row r="80" customFormat="false" ht="15" hidden="false" customHeight="true" outlineLevel="0" collapsed="false">
      <c r="A80" s="13" t="s">
        <v>615</v>
      </c>
      <c r="C80" s="34" t="n">
        <f aca="false">Inputs!$B$6</f>
        <v>131651</v>
      </c>
      <c r="D80" s="34" t="n">
        <f aca="false">C85</f>
        <v>140317.910525661</v>
      </c>
      <c r="E80" s="34" t="n">
        <f aca="false">D85</f>
        <v>-36266.5292980777</v>
      </c>
      <c r="F80" s="34" t="n">
        <f aca="false">E85</f>
        <v>66379.4475218424</v>
      </c>
      <c r="G80" s="34" t="n">
        <f aca="false">F85</f>
        <v>194455.218797754</v>
      </c>
    </row>
    <row r="81" customFormat="false" ht="15" hidden="false" customHeight="true" outlineLevel="0" collapsed="false">
      <c r="A81" s="13" t="s">
        <v>616</v>
      </c>
      <c r="C81" s="34" t="n">
        <f aca="false">C$42</f>
        <v>0</v>
      </c>
      <c r="D81" s="34" t="n">
        <f aca="false">D$42</f>
        <v>200000</v>
      </c>
      <c r="E81" s="34" t="n">
        <f aca="false">E$42</f>
        <v>0</v>
      </c>
      <c r="F81" s="34" t="n">
        <f aca="false">F$42</f>
        <v>0</v>
      </c>
      <c r="G81" s="34" t="n">
        <f aca="false">G$42</f>
        <v>0</v>
      </c>
    </row>
    <row r="82" customFormat="false" ht="15" hidden="false" customHeight="true" outlineLevel="0" collapsed="false">
      <c r="A82" s="13" t="s">
        <v>617</v>
      </c>
      <c r="B82" s="6" t="s">
        <v>618</v>
      </c>
      <c r="C82" s="34" t="n">
        <f aca="false">C75-Historicals!$B$79</f>
        <v>8666.91052566103</v>
      </c>
      <c r="D82" s="34" t="n">
        <f aca="false">D75</f>
        <v>-176584.439823739</v>
      </c>
      <c r="E82" s="34" t="n">
        <f aca="false">E75</f>
        <v>102645.97681992</v>
      </c>
      <c r="F82" s="34" t="n">
        <f aca="false">F75</f>
        <v>128075.771275912</v>
      </c>
      <c r="G82" s="34" t="n">
        <f aca="false">G75</f>
        <v>145229.158704178</v>
      </c>
    </row>
    <row r="83" customFormat="false" ht="15" hidden="false" customHeight="true" outlineLevel="0" collapsed="false">
      <c r="A83" s="13" t="s">
        <v>619</v>
      </c>
      <c r="C83" s="34" t="n">
        <f aca="false">-Inputs!$B$17</f>
        <v>-0</v>
      </c>
      <c r="D83" s="33" t="n">
        <v>0</v>
      </c>
      <c r="E83" s="33" t="n">
        <v>0</v>
      </c>
      <c r="F83" s="33" t="n">
        <v>0</v>
      </c>
      <c r="G83" s="33" t="n">
        <v>0</v>
      </c>
    </row>
    <row r="84" customFormat="false" ht="15" hidden="false" customHeight="true" outlineLevel="0" collapsed="false">
      <c r="A84" s="13" t="s">
        <v>620</v>
      </c>
      <c r="C84" s="34" t="n">
        <f aca="false">Inputs!$B$15</f>
        <v>0</v>
      </c>
      <c r="D84" s="33" t="n">
        <v>0</v>
      </c>
      <c r="E84" s="33" t="n">
        <v>0</v>
      </c>
      <c r="F84" s="33" t="n">
        <v>0</v>
      </c>
      <c r="G84" s="33" t="n">
        <v>0</v>
      </c>
    </row>
    <row r="85" customFormat="false" ht="15" hidden="false" customHeight="true" outlineLevel="0" collapsed="false">
      <c r="A85" s="10" t="s">
        <v>621</v>
      </c>
      <c r="C85" s="36" t="n">
        <f aca="false">C80+C82+C83+C84</f>
        <v>140317.910525661</v>
      </c>
      <c r="D85" s="36" t="n">
        <f aca="false">D80+D82+D83+D84</f>
        <v>-36266.5292980777</v>
      </c>
      <c r="E85" s="36" t="n">
        <f aca="false">E80+E82+E83+E84</f>
        <v>66379.4475218424</v>
      </c>
      <c r="F85" s="36" t="n">
        <f aca="false">F80+F82+F83+F84</f>
        <v>194455.218797754</v>
      </c>
      <c r="G85" s="36" t="n">
        <f aca="false">G80+G82+G83+G84</f>
        <v>339684.377501933</v>
      </c>
    </row>
    <row r="86" customFormat="false" ht="15" hidden="false" customHeight="true" outlineLevel="0" collapsed="false">
      <c r="A86" s="13" t="s">
        <v>622</v>
      </c>
      <c r="C86" s="34" t="n">
        <f aca="false">MIN(C80-C81,C85)</f>
        <v>131651</v>
      </c>
      <c r="D86" s="34" t="n">
        <f aca="false">MIN(D80-D81,D85)</f>
        <v>-59682.089474339</v>
      </c>
      <c r="E86" s="34" t="n">
        <f aca="false">MIN(E80-E81,E85)</f>
        <v>-36266.5292980777</v>
      </c>
      <c r="F86" s="34" t="n">
        <f aca="false">MIN(F80-F81,F85)</f>
        <v>66379.4475218424</v>
      </c>
      <c r="G86" s="34" t="n">
        <f aca="false">MIN(G80-G81,G85)</f>
        <v>194455.218797754</v>
      </c>
    </row>
    <row r="87" customFormat="false" ht="15" hidden="false" customHeight="true" outlineLevel="0" collapsed="false">
      <c r="A87" s="13" t="s">
        <v>623</v>
      </c>
      <c r="C87" s="34" t="n">
        <f aca="false">C86-Inputs!$B$29</f>
        <v>126651</v>
      </c>
      <c r="D87" s="34" t="n">
        <f aca="false">D86-Inputs!$B$29</f>
        <v>-64682.089474339</v>
      </c>
      <c r="E87" s="34" t="n">
        <f aca="false">E86-Inputs!$B$29</f>
        <v>-41266.5292980777</v>
      </c>
      <c r="F87" s="34" t="n">
        <f aca="false">F86-Inputs!$B$29</f>
        <v>61379.4475218424</v>
      </c>
      <c r="G87" s="34" t="n">
        <f aca="false">G86-Inputs!$B$29</f>
        <v>189455.218797754</v>
      </c>
    </row>
    <row r="88" customFormat="false" ht="15" hidden="false" customHeight="true" outlineLevel="0" collapsed="false">
      <c r="A88" s="13" t="s">
        <v>624</v>
      </c>
      <c r="C88" s="55" t="str">
        <f aca="false">IF(C85&lt;Inputs!$B$38,"Below","OK")</f>
        <v>OK</v>
      </c>
      <c r="D88" s="55" t="str">
        <f aca="false">IF(D85&lt;Inputs!$B$38,"Below","OK")</f>
        <v>Below</v>
      </c>
      <c r="E88" s="55" t="str">
        <f aca="false">IF(E85&lt;Inputs!$B$38,"Below","OK")</f>
        <v>OK</v>
      </c>
      <c r="F88" s="55" t="str">
        <f aca="false">IF(F85&lt;Inputs!$B$38,"Below","OK")</f>
        <v>OK</v>
      </c>
      <c r="G88" s="55" t="str">
        <f aca="false">IF(G85&lt;Inputs!$B$38,"Below","OK")</f>
        <v>OK</v>
      </c>
    </row>
    <row r="89" customFormat="false" ht="15" hidden="false" customHeight="true" outlineLevel="0" collapsed="false">
      <c r="A89" s="13" t="s">
        <v>625</v>
      </c>
      <c r="C89" s="55" t="str">
        <f aca="false">IF(C87&lt;0,"Shortfall","OK")</f>
        <v>OK</v>
      </c>
      <c r="D89" s="55" t="str">
        <f aca="false">IF(D87&lt;0,"Shortfall","OK")</f>
        <v>Shortfall</v>
      </c>
      <c r="E89" s="55" t="str">
        <f aca="false">IF(E87&lt;0,"Shortfall","OK")</f>
        <v>Shortfall</v>
      </c>
      <c r="F89" s="55" t="str">
        <f aca="false">IF(F87&lt;0,"Shortfall","OK")</f>
        <v>OK</v>
      </c>
      <c r="G89" s="55" t="str">
        <f aca="false">IF(G87&lt;0,"Shortfall","OK")</f>
        <v>OK</v>
      </c>
    </row>
    <row r="90" customFormat="false" ht="15" hidden="false" customHeight="true" outlineLevel="0" collapsed="false">
      <c r="A90" s="10" t="s">
        <v>626</v>
      </c>
      <c r="G90" s="36" t="n">
        <f aca="false">MAX(0,-MIN(C87:G87))</f>
        <v>64682.089474339</v>
      </c>
    </row>
    <row r="91" customFormat="false" ht="15" hidden="false" customHeight="true" outlineLevel="0" collapsed="false">
      <c r="A91" s="13" t="s">
        <v>627</v>
      </c>
      <c r="G91" s="34" t="n">
        <f aca="false">MAX(0,-MIN(C86:G86))</f>
        <v>59682.089474339</v>
      </c>
    </row>
    <row r="92" customFormat="false" ht="15" hidden="false" customHeight="true" outlineLevel="0" collapsed="false">
      <c r="A92" s="8" t="s">
        <v>628</v>
      </c>
      <c r="B92" s="9"/>
      <c r="C92" s="9" t="s">
        <v>614</v>
      </c>
      <c r="D92" s="9" t="s">
        <v>547</v>
      </c>
      <c r="E92" s="9" t="s">
        <v>548</v>
      </c>
      <c r="F92" s="9" t="s">
        <v>549</v>
      </c>
      <c r="G92" s="9" t="s">
        <v>550</v>
      </c>
    </row>
    <row r="93" customFormat="false" ht="15" hidden="false" customHeight="true" outlineLevel="0" collapsed="false">
      <c r="A93" s="13" t="s">
        <v>629</v>
      </c>
      <c r="G93" s="50" t="n">
        <f aca="false">IF(G90=0,"none",IFERROR(2025+MATCH(1,INDEX(--(C87:G87&lt;0),0),0),"none"))</f>
        <v>2027</v>
      </c>
    </row>
    <row r="94" customFormat="false" ht="15" hidden="false" customHeight="true" outlineLevel="0" collapsed="false">
      <c r="A94" s="13" t="s">
        <v>630</v>
      </c>
      <c r="G94" s="34" t="n">
        <f aca="false">G90</f>
        <v>64682.089474339</v>
      </c>
    </row>
    <row r="95" customFormat="false" ht="15" hidden="false" customHeight="true" outlineLevel="0" collapsed="false">
      <c r="A95" s="13" t="s">
        <v>631</v>
      </c>
      <c r="G95" s="34" t="n">
        <f aca="false">G94/(1-Inputs!$B$31)*Inputs!$B$31</f>
        <v>2000.47699405172</v>
      </c>
    </row>
    <row r="96" customFormat="false" ht="15" hidden="false" customHeight="true" outlineLevel="0" collapsed="false">
      <c r="A96" s="13" t="s">
        <v>632</v>
      </c>
      <c r="G96" s="34" t="n">
        <f aca="false">G94+G95</f>
        <v>66682.5664683907</v>
      </c>
    </row>
    <row r="97" customFormat="false" ht="15" hidden="false" customHeight="true" outlineLevel="0" collapsed="false">
      <c r="A97" s="13" t="s">
        <v>633</v>
      </c>
      <c r="C97" s="34" t="n">
        <f aca="false">IF(AND(ISNUMBER($G$93),$G$93=2026),$G$94,0)</f>
        <v>0</v>
      </c>
      <c r="D97" s="34" t="n">
        <f aca="false">IF(AND(ISNUMBER($G$93),$G$93=2027),$G$94,0)</f>
        <v>64682.089474339</v>
      </c>
      <c r="E97" s="34" t="n">
        <f aca="false">IF(AND(ISNUMBER($G$93),$G$93=2028),$G$94,0)</f>
        <v>0</v>
      </c>
      <c r="F97" s="34" t="n">
        <f aca="false">IF(AND(ISNUMBER($G$93),$G$93=2029),$G$94,0)</f>
        <v>0</v>
      </c>
      <c r="G97" s="34" t="n">
        <f aca="false">IF(AND(ISNUMBER($G$93),$G$93=2030),$G$94,0)</f>
        <v>0</v>
      </c>
    </row>
    <row r="98" customFormat="false" ht="15" hidden="false" customHeight="true" outlineLevel="0" collapsed="false">
      <c r="A98" s="13" t="s">
        <v>634</v>
      </c>
      <c r="C98" s="34" t="n">
        <f aca="false">C97*Inputs!$B$20/2</f>
        <v>0</v>
      </c>
      <c r="D98" s="34" t="n">
        <f aca="false">MAX(0,C100-D81+D97)*Inputs!$B$20-D55</f>
        <v>125</v>
      </c>
      <c r="E98" s="34" t="n">
        <f aca="false">MAX(0,D100-E81+E97)*Inputs!$B$20-E55</f>
        <v>712.930319097796</v>
      </c>
      <c r="F98" s="34" t="n">
        <f aca="false">MAX(0,E100-F81+F97)*Inputs!$B$20-F55</f>
        <v>1633.06565320366</v>
      </c>
      <c r="G98" s="34" t="n">
        <f aca="false">MAX(0,F100-G81+G97)*Inputs!$B$20-G55</f>
        <v>1663.92536823912</v>
      </c>
    </row>
    <row r="99" customFormat="false" ht="15" hidden="false" customHeight="true" outlineLevel="0" collapsed="false">
      <c r="A99" s="13" t="s">
        <v>635</v>
      </c>
      <c r="C99" s="34" t="n">
        <f aca="false">C98*C70</f>
        <v>0</v>
      </c>
      <c r="D99" s="34" t="n">
        <f aca="false">D98*D70</f>
        <v>23.3474123495022</v>
      </c>
      <c r="E99" s="34" t="n">
        <f aca="false">E98*E70</f>
        <v>174.046252940707</v>
      </c>
      <c r="F99" s="34" t="n">
        <f aca="false">F98*F70</f>
        <v>398.677051785304</v>
      </c>
      <c r="G99" s="34" t="n">
        <f aca="false">G98*G70</f>
        <v>406.210772297481</v>
      </c>
    </row>
    <row r="100" customFormat="false" ht="15" hidden="false" customHeight="true" outlineLevel="0" collapsed="false">
      <c r="A100" s="13" t="s">
        <v>636</v>
      </c>
      <c r="C100" s="34" t="n">
        <f aca="false">C85+SUM($C97:C97)+SUM($C98:C98)-SUM($C99:C99)</f>
        <v>140317.910525661</v>
      </c>
      <c r="D100" s="34" t="n">
        <f aca="false">D85+SUM($C97:D97)+SUM($C98:D98)-SUM($C99:D99)</f>
        <v>28517.2127639118</v>
      </c>
      <c r="E100" s="34" t="n">
        <f aca="false">E85+SUM($C97:E97)+SUM($C98:E98)-SUM($C99:E99)</f>
        <v>131702.073649989</v>
      </c>
      <c r="F100" s="34" t="n">
        <f aca="false">F85+SUM($C97:F97)+SUM($C98:F98)-SUM($C99:F99)</f>
        <v>261012.233527319</v>
      </c>
      <c r="G100" s="34" t="n">
        <f aca="false">G85+SUM($C97:G97)+SUM($C98:G98)-SUM($C99:G99)</f>
        <v>407499.106827439</v>
      </c>
    </row>
    <row r="101" customFormat="false" ht="15" hidden="false" customHeight="true" outlineLevel="0" collapsed="false">
      <c r="A101" s="13" t="s">
        <v>637</v>
      </c>
      <c r="C101" s="34" t="n">
        <f aca="false">MIN(C80-C81+0+C97,C100)</f>
        <v>131651</v>
      </c>
      <c r="D101" s="34" t="n">
        <f aca="false">MIN(D80-D81+SUM($C97:C97)+SUM($C98:C98)-SUM($C99:C99)+D97,D100)</f>
        <v>5000</v>
      </c>
      <c r="E101" s="34" t="n">
        <f aca="false">MIN(E80-E81+SUM($C97:D97)+SUM($C98:D98)-SUM($C99:D99)+E97,E100)</f>
        <v>28517.2127639118</v>
      </c>
      <c r="F101" s="34" t="n">
        <f aca="false">MIN(F80-F81+SUM($C97:E97)+SUM($C98:E98)-SUM($C99:E99)+F97,F100)</f>
        <v>131702.073649989</v>
      </c>
      <c r="G101" s="34" t="n">
        <f aca="false">MIN(G80-G81+SUM($C97:F97)+SUM($C98:F98)-SUM($C99:F99)+G97,G100)</f>
        <v>261012.233527319</v>
      </c>
    </row>
    <row r="102" customFormat="false" ht="15" hidden="false" customHeight="true" outlineLevel="0" collapsed="false">
      <c r="A102" s="13" t="s">
        <v>638</v>
      </c>
      <c r="C102" s="55" t="str">
        <f aca="false">IF(C101-Inputs!$B$29&lt;-0.5,"No","Yes")</f>
        <v>Yes</v>
      </c>
      <c r="D102" s="55" t="str">
        <f aca="false">IF(D101-Inputs!$B$29&lt;-0.5,"No","Yes")</f>
        <v>Yes</v>
      </c>
      <c r="E102" s="55" t="str">
        <f aca="false">IF(E101-Inputs!$B$29&lt;-0.5,"No","Yes")</f>
        <v>Yes</v>
      </c>
      <c r="F102" s="55" t="str">
        <f aca="false">IF(F101-Inputs!$B$29&lt;-0.5,"No","Yes")</f>
        <v>Yes</v>
      </c>
      <c r="G102" s="55" t="str">
        <f aca="false">IF(G101-Inputs!$B$29&lt;-0.5,"No","Yes")</f>
        <v>Yes</v>
      </c>
    </row>
    <row r="104" customFormat="false" ht="15" hidden="false" customHeight="true" outlineLevel="0" collapsed="false">
      <c r="A104" s="37" t="s">
        <v>639</v>
      </c>
      <c r="B104" s="38"/>
      <c r="C104" s="38"/>
      <c r="D104" s="38"/>
      <c r="E104" s="38"/>
      <c r="F104" s="38"/>
      <c r="G104" s="38"/>
    </row>
    <row r="105" customFormat="false" ht="15" hidden="false" customHeight="true" outlineLevel="0" collapsed="false">
      <c r="A105" s="13" t="s">
        <v>249</v>
      </c>
      <c r="C105" s="34" t="n">
        <f aca="false">C5+C31</f>
        <v>54228</v>
      </c>
      <c r="D105" s="34" t="n">
        <f aca="false">D5+D31</f>
        <v>110408.208</v>
      </c>
      <c r="E105" s="34" t="n">
        <f aca="false">E5+E31</f>
        <v>175671.606</v>
      </c>
      <c r="F105" s="34" t="n">
        <f aca="false">F5+F31</f>
        <v>247369.1562</v>
      </c>
      <c r="G105" s="34" t="n">
        <f aca="false">G5+G31</f>
        <v>321977.055375</v>
      </c>
    </row>
    <row r="106" customFormat="false" ht="15" hidden="false" customHeight="true" outlineLevel="0" collapsed="false">
      <c r="A106" s="13" t="s">
        <v>558</v>
      </c>
      <c r="C106" s="34" t="n">
        <f aca="false">C17+C35</f>
        <v>1681.57633059282</v>
      </c>
      <c r="D106" s="34" t="n">
        <f aca="false">D17+D35</f>
        <v>22706.9132</v>
      </c>
      <c r="E106" s="34" t="n">
        <f aca="false">E17+E35</f>
        <v>46477.6859</v>
      </c>
      <c r="F106" s="34" t="n">
        <f aca="false">F17+F35</f>
        <v>76845.02603</v>
      </c>
      <c r="G106" s="34" t="n">
        <f aca="false">G17+G35</f>
        <v>108168.20709</v>
      </c>
    </row>
    <row r="107" customFormat="false" ht="15" hidden="false" customHeight="true" outlineLevel="0" collapsed="false">
      <c r="A107" s="13" t="s">
        <v>586</v>
      </c>
      <c r="C107" s="34" t="n">
        <f aca="false">C51+C37</f>
        <v>1626.84</v>
      </c>
      <c r="D107" s="34" t="n">
        <f aca="false">D51+D37</f>
        <v>4416.32832</v>
      </c>
      <c r="E107" s="34" t="n">
        <f aca="false">E51+E37</f>
        <v>8783.5803</v>
      </c>
      <c r="F107" s="34" t="n">
        <f aca="false">F51+F37</f>
        <v>12368.45781</v>
      </c>
      <c r="G107" s="34" t="n">
        <f aca="false">G51+G37</f>
        <v>16098.85276875</v>
      </c>
    </row>
    <row r="108" customFormat="false" ht="15" hidden="false" customHeight="true" outlineLevel="0" collapsed="false">
      <c r="A108" s="13" t="s">
        <v>587</v>
      </c>
      <c r="C108" s="33" t="n">
        <v>0</v>
      </c>
      <c r="D108" s="34" t="n">
        <f aca="false">SUMPRODUCT($D107:D107,--((4-COLUMN($D107:D107))&lt;Inputs!$B$32))/Inputs!$B$32</f>
        <v>883.265664</v>
      </c>
      <c r="E108" s="34" t="n">
        <f aca="false">SUMPRODUCT($D107:E107,--((5-COLUMN($D107:E107))&lt;Inputs!$B$32))/Inputs!$B$32</f>
        <v>2639.981724</v>
      </c>
      <c r="F108" s="34" t="n">
        <f aca="false">SUMPRODUCT($D107:F107,--((6-COLUMN($D107:F107))&lt;Inputs!$B$32))/Inputs!$B$32</f>
        <v>5113.673286</v>
      </c>
      <c r="G108" s="34" t="n">
        <f aca="false">SUMPRODUCT($D107:G107,--((7-COLUMN($D107:G107))&lt;Inputs!$B$32))/Inputs!$B$32</f>
        <v>8333.44383975</v>
      </c>
    </row>
    <row r="109" customFormat="false" ht="15" hidden="false" customHeight="true" outlineLevel="0" collapsed="false">
      <c r="A109" s="10" t="s">
        <v>588</v>
      </c>
      <c r="C109" s="36" t="n">
        <f aca="false">C106-C108</f>
        <v>1681.57633059282</v>
      </c>
      <c r="D109" s="36" t="n">
        <f aca="false">D106-D108</f>
        <v>21823.647536</v>
      </c>
      <c r="E109" s="36" t="n">
        <f aca="false">E106-E108</f>
        <v>43837.704176</v>
      </c>
      <c r="F109" s="36" t="n">
        <f aca="false">F106-F108</f>
        <v>71731.352744</v>
      </c>
      <c r="G109" s="36" t="n">
        <f aca="false">G106-G108</f>
        <v>99834.7632502501</v>
      </c>
    </row>
    <row r="110" customFormat="false" ht="15" hidden="false" customHeight="true" outlineLevel="0" collapsed="false">
      <c r="A110" s="13" t="s">
        <v>589</v>
      </c>
      <c r="C110" s="16" t="n">
        <f aca="false">IFERROR(C109/C105,0)</f>
        <v>0.0310093739505942</v>
      </c>
      <c r="D110" s="16" t="n">
        <f aca="false">IFERROR(D109/D105,0)</f>
        <v>0.1976632709771</v>
      </c>
      <c r="E110" s="16" t="n">
        <f aca="false">IFERROR(E109/E105,0)</f>
        <v>0.249543481580057</v>
      </c>
      <c r="F110" s="16" t="n">
        <f aca="false">IFERROR(F109/F105,0)</f>
        <v>0.289976947190638</v>
      </c>
      <c r="G110" s="16" t="n">
        <f aca="false">IFERROR(G109/G105,0)</f>
        <v>0.310067942990455</v>
      </c>
    </row>
    <row r="111" customFormat="false" ht="15" hidden="false" customHeight="true" outlineLevel="0" collapsed="false">
      <c r="A111" s="13" t="s">
        <v>590</v>
      </c>
      <c r="C111" s="34" t="n">
        <f aca="false">Historicals!F43+C136*Inputs!$B$20/2</f>
        <v>2756.6375</v>
      </c>
      <c r="D111" s="34" t="n">
        <f aca="false">MAX(0,D136-D137)*Inputs!$B$20</f>
        <v>0</v>
      </c>
      <c r="E111" s="34" t="n">
        <f aca="false">MAX(0,E136-E137)*Inputs!$B$20</f>
        <v>0</v>
      </c>
      <c r="F111" s="34" t="n">
        <f aca="false">MAX(0,F136-F137)*Inputs!$B$20</f>
        <v>1720.66674730178</v>
      </c>
      <c r="G111" s="34" t="n">
        <f aca="false">MAX(0,G136-G137)*Inputs!$B$20</f>
        <v>5054.37619195835</v>
      </c>
    </row>
    <row r="112" customFormat="false" ht="15" hidden="false" customHeight="true" outlineLevel="0" collapsed="false">
      <c r="A112" s="13" t="s">
        <v>591</v>
      </c>
      <c r="C112" s="41" t="n">
        <f aca="false">Inputs!B$56</f>
        <v>0</v>
      </c>
      <c r="D112" s="41" t="n">
        <f aca="false">Inputs!C$56</f>
        <v>0</v>
      </c>
      <c r="E112" s="41" t="n">
        <f aca="false">Inputs!D$56</f>
        <v>0</v>
      </c>
      <c r="F112" s="41" t="n">
        <f aca="false">Inputs!E$56</f>
        <v>0</v>
      </c>
      <c r="G112" s="41" t="n">
        <f aca="false">Inputs!F$56</f>
        <v>0</v>
      </c>
    </row>
    <row r="113" customFormat="false" ht="15" hidden="false" customHeight="true" outlineLevel="0" collapsed="false">
      <c r="A113" s="13" t="s">
        <v>592</v>
      </c>
      <c r="C113" s="34" t="n">
        <f aca="false">IF(Inputs!$B$51=2026,Inputs!$B$50,0)</f>
        <v>0</v>
      </c>
      <c r="D113" s="34" t="n">
        <f aca="false">IF(Inputs!$B$51=2027,Inputs!$B$50,0)</f>
        <v>0</v>
      </c>
      <c r="E113" s="34" t="n">
        <f aca="false">IF(Inputs!$B$51=2028,Inputs!$B$50,0)</f>
        <v>0</v>
      </c>
      <c r="F113" s="34" t="n">
        <f aca="false">IF(Inputs!$B$51=2029,Inputs!$B$50,0)</f>
        <v>0</v>
      </c>
      <c r="G113" s="34" t="n">
        <f aca="false">IF(Inputs!$B$51=2030,Inputs!$B$50,0)</f>
        <v>0</v>
      </c>
    </row>
    <row r="114" customFormat="false" ht="15" hidden="false" customHeight="true" outlineLevel="0" collapsed="false">
      <c r="A114" s="13" t="s">
        <v>593</v>
      </c>
      <c r="C114" s="34" t="n">
        <f aca="false">C109+C111+C112-C113</f>
        <v>4438.21383059282</v>
      </c>
      <c r="D114" s="34" t="n">
        <f aca="false">D109+D111+D112-D113</f>
        <v>21823.647536</v>
      </c>
      <c r="E114" s="34" t="n">
        <f aca="false">E109+E111+E112-E113</f>
        <v>43837.704176</v>
      </c>
      <c r="F114" s="34" t="n">
        <f aca="false">F109+F111+F112-F113</f>
        <v>73452.0194913018</v>
      </c>
      <c r="G114" s="34" t="n">
        <f aca="false">G109+G111+G112-G113</f>
        <v>104889.139442208</v>
      </c>
    </row>
    <row r="115" customFormat="false" ht="15" hidden="false" customHeight="true" outlineLevel="0" collapsed="false">
      <c r="A115" s="13" t="s">
        <v>594</v>
      </c>
      <c r="C115" s="34" t="n">
        <f aca="false">C114*Inputs!$B$46</f>
        <v>3195.51395802683</v>
      </c>
      <c r="D115" s="34" t="n">
        <f aca="false">D114*Inputs!$B$46</f>
        <v>15713.02622592</v>
      </c>
      <c r="E115" s="34" t="n">
        <f aca="false">E114*Inputs!$B$46</f>
        <v>31563.14700672</v>
      </c>
      <c r="F115" s="34" t="n">
        <f aca="false">F114*Inputs!$B$46</f>
        <v>52885.4540337373</v>
      </c>
      <c r="G115" s="34" t="n">
        <f aca="false">G114*Inputs!$B$46</f>
        <v>75520.1803983901</v>
      </c>
    </row>
    <row r="116" customFormat="false" ht="15" hidden="false" customHeight="true" outlineLevel="0" collapsed="false">
      <c r="A116" s="13" t="s">
        <v>595</v>
      </c>
      <c r="C116" s="34" t="n">
        <f aca="false">Inputs!$B$48</f>
        <v>4200</v>
      </c>
      <c r="D116" s="34" t="n">
        <f aca="false">C118</f>
        <v>4200</v>
      </c>
      <c r="E116" s="34" t="n">
        <f aca="false">D118</f>
        <v>0</v>
      </c>
      <c r="F116" s="34" t="n">
        <f aca="false">E118</f>
        <v>0</v>
      </c>
      <c r="G116" s="34" t="n">
        <f aca="false">F118</f>
        <v>0</v>
      </c>
    </row>
    <row r="117" customFormat="false" ht="15" hidden="false" customHeight="true" outlineLevel="0" collapsed="false">
      <c r="A117" s="13" t="s">
        <v>596</v>
      </c>
      <c r="C117" s="34" t="n">
        <f aca="false">IF(AND(2026=2026,Inputs!$B$49=1),0,MIN(C116,MAX(0,C115)))</f>
        <v>0</v>
      </c>
      <c r="D117" s="34" t="n">
        <f aca="false">IF(AND(2027=2026,Inputs!$B$49=1),0,MIN(D116,MAX(0,D115)))</f>
        <v>4200</v>
      </c>
      <c r="E117" s="34" t="n">
        <f aca="false">IF(AND(2028=2026,Inputs!$B$49=1),0,MIN(E116,MAX(0,E115)))</f>
        <v>0</v>
      </c>
      <c r="F117" s="34" t="n">
        <f aca="false">IF(AND(2029=2026,Inputs!$B$49=1),0,MIN(F116,MAX(0,F115)))</f>
        <v>0</v>
      </c>
      <c r="G117" s="34" t="n">
        <f aca="false">IF(AND(2030=2026,Inputs!$B$49=1),0,MIN(G116,MAX(0,G115)))</f>
        <v>0</v>
      </c>
    </row>
    <row r="118" customFormat="false" ht="15" hidden="false" customHeight="true" outlineLevel="0" collapsed="false">
      <c r="A118" s="13" t="s">
        <v>597</v>
      </c>
      <c r="C118" s="34" t="n">
        <f aca="false">C116-C117+MAX(0,-C115)</f>
        <v>4200</v>
      </c>
      <c r="D118" s="34" t="n">
        <f aca="false">D116-D117+MAX(0,-D115)</f>
        <v>0</v>
      </c>
      <c r="E118" s="34" t="n">
        <f aca="false">E116-E117+MAX(0,-E115)</f>
        <v>0</v>
      </c>
      <c r="F118" s="34" t="n">
        <f aca="false">F116-F117+MAX(0,-F115)</f>
        <v>0</v>
      </c>
      <c r="G118" s="34" t="n">
        <f aca="false">G116-G117+MAX(0,-G115)</f>
        <v>0</v>
      </c>
    </row>
    <row r="119" customFormat="false" ht="15" hidden="false" customHeight="true" outlineLevel="0" collapsed="false">
      <c r="A119" s="13" t="s">
        <v>598</v>
      </c>
      <c r="C119" s="34" t="n">
        <f aca="false">MAX(0,C115-C117)*Inputs!$B$47</f>
        <v>191.73083748161</v>
      </c>
      <c r="D119" s="34" t="n">
        <f aca="false">MAX(0,D115-D117)*Inputs!$B$47</f>
        <v>690.7815735552</v>
      </c>
      <c r="E119" s="34" t="n">
        <f aca="false">MAX(0,E115-E117)*Inputs!$B$47</f>
        <v>1893.7888204032</v>
      </c>
      <c r="F119" s="34" t="n">
        <f aca="false">MAX(0,F115-F117)*Inputs!$B$47</f>
        <v>3173.12724202424</v>
      </c>
      <c r="G119" s="34" t="n">
        <f aca="false">MAX(0,G115-G117)*Inputs!$B$47</f>
        <v>4531.2108239034</v>
      </c>
    </row>
    <row r="120" customFormat="false" ht="15" hidden="false" customHeight="true" outlineLevel="0" collapsed="false">
      <c r="A120" s="13" t="s">
        <v>599</v>
      </c>
      <c r="C120" s="34" t="n">
        <f aca="false">C114-C119</f>
        <v>4246.48299311121</v>
      </c>
      <c r="D120" s="34" t="n">
        <f aca="false">D114-D119</f>
        <v>21132.8659624448</v>
      </c>
      <c r="E120" s="34" t="n">
        <f aca="false">E114-E119</f>
        <v>41943.9153555968</v>
      </c>
      <c r="F120" s="34" t="n">
        <f aca="false">F114-F119</f>
        <v>70278.8922492776</v>
      </c>
      <c r="G120" s="34" t="n">
        <f aca="false">G114-G119</f>
        <v>100357.928618305</v>
      </c>
    </row>
    <row r="121" customFormat="false" ht="15" hidden="false" customHeight="true" outlineLevel="0" collapsed="false">
      <c r="A121" s="13" t="s">
        <v>600</v>
      </c>
      <c r="C121" s="34" t="n">
        <f aca="false">Inputs!$B$44</f>
        <v>8200</v>
      </c>
      <c r="D121" s="34" t="n">
        <f aca="false">C123</f>
        <v>4802.81360551103</v>
      </c>
      <c r="E121" s="34" t="n">
        <f aca="false">D123</f>
        <v>0</v>
      </c>
      <c r="F121" s="34" t="n">
        <f aca="false">E123</f>
        <v>0</v>
      </c>
      <c r="G121" s="34" t="n">
        <f aca="false">F123</f>
        <v>0</v>
      </c>
    </row>
    <row r="122" customFormat="false" ht="15" hidden="false" customHeight="true" outlineLevel="0" collapsed="false">
      <c r="A122" s="13" t="s">
        <v>601</v>
      </c>
      <c r="C122" s="34" t="n">
        <f aca="false">MIN(C121,Inputs!$B$45*MAX(0,C120))</f>
        <v>3397.18639448897</v>
      </c>
      <c r="D122" s="34" t="n">
        <f aca="false">MIN(D121,Inputs!$B$45*MAX(0,D120))</f>
        <v>4802.81360551103</v>
      </c>
      <c r="E122" s="34" t="n">
        <f aca="false">MIN(E121,Inputs!$B$45*MAX(0,E120))</f>
        <v>0</v>
      </c>
      <c r="F122" s="34" t="n">
        <f aca="false">MIN(F121,Inputs!$B$45*MAX(0,F120))</f>
        <v>0</v>
      </c>
      <c r="G122" s="34" t="n">
        <f aca="false">MIN(G121,Inputs!$B$45*MAX(0,G120))</f>
        <v>0</v>
      </c>
    </row>
    <row r="123" customFormat="false" ht="15" hidden="false" customHeight="true" outlineLevel="0" collapsed="false">
      <c r="A123" s="13" t="s">
        <v>602</v>
      </c>
      <c r="C123" s="34" t="n">
        <f aca="false">C121-C122+MAX(0,-C120)</f>
        <v>4802.81360551103</v>
      </c>
      <c r="D123" s="34" t="n">
        <f aca="false">D121-D122+MAX(0,-D120)</f>
        <v>0</v>
      </c>
      <c r="E123" s="34" t="n">
        <f aca="false">E121-E122+MAX(0,-E120)</f>
        <v>0</v>
      </c>
      <c r="F123" s="34" t="n">
        <f aca="false">F121-F122+MAX(0,-F120)</f>
        <v>0</v>
      </c>
      <c r="G123" s="34" t="n">
        <f aca="false">G121-G122+MAX(0,-G120)</f>
        <v>0</v>
      </c>
    </row>
    <row r="124" customFormat="false" ht="15" hidden="false" customHeight="true" outlineLevel="0" collapsed="false">
      <c r="A124" s="13" t="s">
        <v>603</v>
      </c>
      <c r="C124" s="34" t="n">
        <f aca="false">MAX(0,C120-C122)*Inputs!$B$43</f>
        <v>178.352285710671</v>
      </c>
      <c r="D124" s="34" t="n">
        <f aca="false">MAX(0,D120-D122)*Inputs!$B$43</f>
        <v>3429.31099495609</v>
      </c>
      <c r="E124" s="34" t="n">
        <f aca="false">MAX(0,E120-E122)*Inputs!$B$43</f>
        <v>8808.22222467533</v>
      </c>
      <c r="F124" s="34" t="n">
        <f aca="false">MAX(0,F120-F122)*Inputs!$B$43</f>
        <v>14758.5673723483</v>
      </c>
      <c r="G124" s="34" t="n">
        <f aca="false">MAX(0,G120-G122)*Inputs!$B$43</f>
        <v>21075.1650098441</v>
      </c>
    </row>
    <row r="125" customFormat="false" ht="15" hidden="false" customHeight="true" outlineLevel="0" collapsed="false">
      <c r="A125" s="10" t="s">
        <v>604</v>
      </c>
      <c r="C125" s="36" t="n">
        <f aca="false">IF(Inputs!$P$90=0,MAX(0,C109+C111)*Inputs!B$54,IF(Inputs!$P$90=2,MAX(0,C114)*Inputs!$P$91,C119+C124))</f>
        <v>370.083123192281</v>
      </c>
      <c r="D125" s="36" t="n">
        <f aca="false">IF(Inputs!$P$90=0,MAX(0,D109+D111)*Inputs!C$54,IF(Inputs!$P$90=2,MAX(0,D114)*Inputs!$P$91,D119+D124))</f>
        <v>4120.09256851129</v>
      </c>
      <c r="E125" s="36" t="n">
        <f aca="false">IF(Inputs!$P$90=0,MAX(0,E109+E111)*Inputs!D$54,IF(Inputs!$P$90=2,MAX(0,E114)*Inputs!$P$91,E119+E124))</f>
        <v>10702.0110450785</v>
      </c>
      <c r="F125" s="36" t="n">
        <f aca="false">IF(Inputs!$P$90=0,MAX(0,F109+F111)*Inputs!E$54,IF(Inputs!$P$90=2,MAX(0,F114)*Inputs!$P$91,F119+F124))</f>
        <v>17931.6946143725</v>
      </c>
      <c r="G125" s="36" t="n">
        <f aca="false">IF(Inputs!$P$90=0,MAX(0,G109+G111)*Inputs!F$54,IF(Inputs!$P$90=2,MAX(0,G114)*Inputs!$P$91,G119+G124))</f>
        <v>25606.3758337475</v>
      </c>
    </row>
    <row r="126" customFormat="false" ht="15" hidden="false" customHeight="true" outlineLevel="0" collapsed="false">
      <c r="A126" s="13" t="s">
        <v>605</v>
      </c>
      <c r="C126" s="16" t="n">
        <f aca="false">IF(C114&gt;0,MIN(1,C125/C114),0)</f>
        <v>0.0833856</v>
      </c>
      <c r="D126" s="16" t="n">
        <f aca="false">IF(D114&gt;0,MIN(1,D125/D114),0)</f>
        <v>0.188790281813104</v>
      </c>
      <c r="E126" s="16" t="n">
        <f aca="false">IF(E114&gt;0,MIN(1,E125/E114),0)</f>
        <v>0.244128</v>
      </c>
      <c r="F126" s="16" t="n">
        <f aca="false">IF(F114&gt;0,MIN(1,F125/F114),0)</f>
        <v>0.244128</v>
      </c>
      <c r="G126" s="16" t="n">
        <f aca="false">IF(G114&gt;0,MIN(1,G125/G114),0)</f>
        <v>0.244128</v>
      </c>
    </row>
    <row r="127" customFormat="false" ht="15" hidden="false" customHeight="true" outlineLevel="0" collapsed="false">
      <c r="A127" s="13" t="s">
        <v>606</v>
      </c>
      <c r="C127" s="34" t="n">
        <f aca="false">C109+C111-C125</f>
        <v>4068.13070740054</v>
      </c>
      <c r="D127" s="34" t="n">
        <f aca="false">D109+D111-D125</f>
        <v>17703.5549674887</v>
      </c>
      <c r="E127" s="34" t="n">
        <f aca="false">E109+E111-E125</f>
        <v>33135.6931309215</v>
      </c>
      <c r="F127" s="34" t="n">
        <f aca="false">F109+F111-F125</f>
        <v>55520.3248769293</v>
      </c>
      <c r="G127" s="34" t="n">
        <f aca="false">G109+G111-G125</f>
        <v>79282.763608461</v>
      </c>
    </row>
    <row r="128" customFormat="false" ht="15" hidden="false" customHeight="true" outlineLevel="0" collapsed="false">
      <c r="A128" s="13" t="s">
        <v>607</v>
      </c>
      <c r="C128" s="34" t="n">
        <f aca="false">C12+C20</f>
        <v>8451.61981826049</v>
      </c>
      <c r="D128" s="34" t="n">
        <f aca="false">D12+D20</f>
        <v>9761.04</v>
      </c>
      <c r="E128" s="34" t="n">
        <f aca="false">E12+E20</f>
        <v>13448.544</v>
      </c>
      <c r="F128" s="34" t="n">
        <f aca="false">F12+F20</f>
        <v>15886.0926</v>
      </c>
      <c r="G128" s="34" t="n">
        <f aca="false">G12+G20</f>
        <v>17020.8135</v>
      </c>
    </row>
    <row r="129" customFormat="false" ht="15" hidden="false" customHeight="true" outlineLevel="0" collapsed="false">
      <c r="A129" s="13" t="s">
        <v>608</v>
      </c>
      <c r="C129" s="34" t="n">
        <f aca="false">C73+C38</f>
        <v>0</v>
      </c>
      <c r="D129" s="34" t="n">
        <f aca="false">D73+D38</f>
        <v>-0</v>
      </c>
      <c r="E129" s="34" t="n">
        <f aca="false">E73+E38</f>
        <v>-0</v>
      </c>
      <c r="F129" s="34" t="n">
        <f aca="false">F73+F38</f>
        <v>-0</v>
      </c>
      <c r="G129" s="34" t="n">
        <f aca="false">G73+G38</f>
        <v>-0</v>
      </c>
    </row>
    <row r="130" customFormat="false" ht="15" hidden="false" customHeight="true" outlineLevel="0" collapsed="false">
      <c r="A130" s="13" t="s">
        <v>609</v>
      </c>
      <c r="C130" s="34" t="n">
        <f aca="false">-C$42+C$45</f>
        <v>0</v>
      </c>
      <c r="D130" s="34" t="n">
        <f aca="false">-D$42+D$45</f>
        <v>-200000</v>
      </c>
      <c r="E130" s="34" t="n">
        <f aca="false">-E$42+E$45</f>
        <v>64136.5885</v>
      </c>
      <c r="F130" s="34" t="n">
        <f aca="false">-F$42+F$45</f>
        <v>69196.7448333333</v>
      </c>
      <c r="G130" s="34" t="n">
        <f aca="false">-G$42+G$45</f>
        <v>66666.6666666667</v>
      </c>
    </row>
    <row r="131" customFormat="false" ht="15" hidden="false" customHeight="true" outlineLevel="0" collapsed="false">
      <c r="A131" s="10" t="s">
        <v>610</v>
      </c>
      <c r="C131" s="36" t="n">
        <f aca="false">C109+C128+C108+C111-C125-C107+C129+C130</f>
        <v>10892.910525661</v>
      </c>
      <c r="D131" s="36" t="n">
        <f aca="false">D109+D128+D108+D111-D125-D107+D129+D130</f>
        <v>-176068.467688511</v>
      </c>
      <c r="E131" s="36" t="n">
        <f aca="false">E109+E128+E108+E111-E125-E107+E129+E130</f>
        <v>104577.227054921</v>
      </c>
      <c r="F131" s="36" t="n">
        <f aca="false">F109+F128+F108+F111-F125-F107+F129+F130</f>
        <v>133348.377786263</v>
      </c>
      <c r="G131" s="36" t="n">
        <f aca="false">G109+G128+G108+G111-G125-G107+G129+G130</f>
        <v>155204.834846128</v>
      </c>
    </row>
    <row r="132" customFormat="false" ht="15" hidden="false" customHeight="true" outlineLevel="0" collapsed="false">
      <c r="A132" s="10" t="s">
        <v>611</v>
      </c>
      <c r="C132" s="36" t="n">
        <f aca="false">C109+C108-(C125-C111*C126)-C107+C129+C130</f>
        <v>-85.4829206794611</v>
      </c>
      <c r="D132" s="36" t="n">
        <f aca="false">D109+D108-(D125-D111*D126)-D107+D129+D130</f>
        <v>-185829.507688511</v>
      </c>
      <c r="E132" s="36" t="n">
        <f aca="false">E109+E108-(E125-E111*E126)-E107+E129+E130</f>
        <v>91128.6830549215</v>
      </c>
      <c r="F132" s="36" t="n">
        <f aca="false">F109+F108-(F125-F111*F126)-F107+F129+F130</f>
        <v>116161.681370646</v>
      </c>
      <c r="G132" s="36" t="n">
        <f aca="false">G109+G108-(G125-G111*G126)-G107+G129+G130</f>
        <v>134363.55990516</v>
      </c>
    </row>
    <row r="133" customFormat="false" ht="15" hidden="false" customHeight="true" outlineLevel="0" collapsed="false">
      <c r="A133" s="13" t="s">
        <v>612</v>
      </c>
      <c r="C133" s="16" t="n">
        <f aca="false">IFERROR(C132/C105,0)</f>
        <v>-0.00157636130190052</v>
      </c>
      <c r="D133" s="16" t="n">
        <f aca="false">IFERROR(D132/D105,0)</f>
        <v>-1.6831131584756</v>
      </c>
      <c r="E133" s="16" t="n">
        <f aca="false">IFERROR(E132/E105,0)</f>
        <v>0.518744520699159</v>
      </c>
      <c r="F133" s="16" t="n">
        <f aca="false">IFERROR(F132/F105,0)</f>
        <v>0.469588380196957</v>
      </c>
      <c r="G133" s="16" t="n">
        <f aca="false">IFERROR(G132/G105,0)</f>
        <v>0.417307872291301</v>
      </c>
    </row>
    <row r="135" customFormat="false" ht="15" hidden="false" customHeight="true" outlineLevel="0" collapsed="false">
      <c r="A135" s="8" t="s">
        <v>613</v>
      </c>
      <c r="B135" s="9"/>
      <c r="C135" s="9" t="s">
        <v>614</v>
      </c>
      <c r="D135" s="9" t="s">
        <v>547</v>
      </c>
      <c r="E135" s="9" t="s">
        <v>548</v>
      </c>
      <c r="F135" s="9" t="s">
        <v>549</v>
      </c>
      <c r="G135" s="9" t="s">
        <v>550</v>
      </c>
    </row>
    <row r="136" customFormat="false" ht="15" hidden="false" customHeight="true" outlineLevel="0" collapsed="false">
      <c r="A136" s="13" t="s">
        <v>615</v>
      </c>
      <c r="C136" s="34" t="n">
        <f aca="false">Inputs!$B$6</f>
        <v>131651</v>
      </c>
      <c r="D136" s="34" t="n">
        <f aca="false">C141</f>
        <v>140317.910525661</v>
      </c>
      <c r="E136" s="34" t="n">
        <f aca="false">D141</f>
        <v>-35750.5571628503</v>
      </c>
      <c r="F136" s="34" t="n">
        <f aca="false">E141</f>
        <v>68826.6698920712</v>
      </c>
      <c r="G136" s="34" t="n">
        <f aca="false">F141</f>
        <v>202175.047678334</v>
      </c>
    </row>
    <row r="137" customFormat="false" ht="15" hidden="false" customHeight="true" outlineLevel="0" collapsed="false">
      <c r="A137" s="13" t="s">
        <v>616</v>
      </c>
      <c r="C137" s="34" t="n">
        <f aca="false">C$42</f>
        <v>0</v>
      </c>
      <c r="D137" s="34" t="n">
        <f aca="false">D$42</f>
        <v>200000</v>
      </c>
      <c r="E137" s="34" t="n">
        <f aca="false">E$42</f>
        <v>0</v>
      </c>
      <c r="F137" s="34" t="n">
        <f aca="false">F$42</f>
        <v>0</v>
      </c>
      <c r="G137" s="34" t="n">
        <f aca="false">G$42</f>
        <v>0</v>
      </c>
    </row>
    <row r="138" customFormat="false" ht="15" hidden="false" customHeight="true" outlineLevel="0" collapsed="false">
      <c r="A138" s="13" t="s">
        <v>617</v>
      </c>
      <c r="B138" s="6" t="s">
        <v>618</v>
      </c>
      <c r="C138" s="34" t="n">
        <f aca="false">C131-Historicals!$B$79</f>
        <v>8666.91052566103</v>
      </c>
      <c r="D138" s="34" t="n">
        <f aca="false">D131</f>
        <v>-176068.467688511</v>
      </c>
      <c r="E138" s="34" t="n">
        <f aca="false">E131</f>
        <v>104577.227054921</v>
      </c>
      <c r="F138" s="34" t="n">
        <f aca="false">F131</f>
        <v>133348.377786263</v>
      </c>
      <c r="G138" s="34" t="n">
        <f aca="false">G131</f>
        <v>155204.834846128</v>
      </c>
    </row>
    <row r="139" customFormat="false" ht="15" hidden="false" customHeight="true" outlineLevel="0" collapsed="false">
      <c r="A139" s="13" t="s">
        <v>619</v>
      </c>
      <c r="C139" s="34" t="n">
        <f aca="false">-Inputs!$B$17</f>
        <v>-0</v>
      </c>
      <c r="D139" s="33" t="n">
        <v>0</v>
      </c>
      <c r="E139" s="33" t="n">
        <v>0</v>
      </c>
      <c r="F139" s="33" t="n">
        <v>0</v>
      </c>
      <c r="G139" s="33" t="n">
        <v>0</v>
      </c>
    </row>
    <row r="140" customFormat="false" ht="15" hidden="false" customHeight="true" outlineLevel="0" collapsed="false">
      <c r="A140" s="13" t="s">
        <v>620</v>
      </c>
      <c r="C140" s="34" t="n">
        <f aca="false">Inputs!$B$15</f>
        <v>0</v>
      </c>
      <c r="D140" s="33" t="n">
        <v>0</v>
      </c>
      <c r="E140" s="33" t="n">
        <v>0</v>
      </c>
      <c r="F140" s="33" t="n">
        <v>0</v>
      </c>
      <c r="G140" s="33" t="n">
        <v>0</v>
      </c>
    </row>
    <row r="141" customFormat="false" ht="15" hidden="false" customHeight="true" outlineLevel="0" collapsed="false">
      <c r="A141" s="10" t="s">
        <v>621</v>
      </c>
      <c r="C141" s="36" t="n">
        <f aca="false">C136+C138+C139+C140</f>
        <v>140317.910525661</v>
      </c>
      <c r="D141" s="36" t="n">
        <f aca="false">D136+D138+D139+D140</f>
        <v>-35750.5571628503</v>
      </c>
      <c r="E141" s="36" t="n">
        <f aca="false">E136+E138+E139+E140</f>
        <v>68826.6698920712</v>
      </c>
      <c r="F141" s="36" t="n">
        <f aca="false">F136+F138+F139+F140</f>
        <v>202175.047678334</v>
      </c>
      <c r="G141" s="36" t="n">
        <f aca="false">G136+G138+G139+G140</f>
        <v>357379.882524462</v>
      </c>
    </row>
    <row r="142" customFormat="false" ht="15" hidden="false" customHeight="true" outlineLevel="0" collapsed="false">
      <c r="A142" s="13" t="s">
        <v>622</v>
      </c>
      <c r="C142" s="34" t="n">
        <f aca="false">MIN(C136-C137,C141)</f>
        <v>131651</v>
      </c>
      <c r="D142" s="34" t="n">
        <f aca="false">MIN(D136-D137,D141)</f>
        <v>-59682.089474339</v>
      </c>
      <c r="E142" s="34" t="n">
        <f aca="false">MIN(E136-E137,E141)</f>
        <v>-35750.5571628503</v>
      </c>
      <c r="F142" s="34" t="n">
        <f aca="false">MIN(F136-F137,F141)</f>
        <v>68826.6698920712</v>
      </c>
      <c r="G142" s="34" t="n">
        <f aca="false">MIN(G136-G137,G141)</f>
        <v>202175.047678334</v>
      </c>
    </row>
    <row r="143" customFormat="false" ht="15" hidden="false" customHeight="true" outlineLevel="0" collapsed="false">
      <c r="A143" s="13" t="s">
        <v>623</v>
      </c>
      <c r="C143" s="34" t="n">
        <f aca="false">C142-Inputs!$B$29</f>
        <v>126651</v>
      </c>
      <c r="D143" s="34" t="n">
        <f aca="false">D142-Inputs!$B$29</f>
        <v>-64682.089474339</v>
      </c>
      <c r="E143" s="34" t="n">
        <f aca="false">E142-Inputs!$B$29</f>
        <v>-40750.5571628503</v>
      </c>
      <c r="F143" s="34" t="n">
        <f aca="false">F142-Inputs!$B$29</f>
        <v>63826.6698920712</v>
      </c>
      <c r="G143" s="34" t="n">
        <f aca="false">G142-Inputs!$B$29</f>
        <v>197175.047678334</v>
      </c>
    </row>
    <row r="144" customFormat="false" ht="15" hidden="false" customHeight="true" outlineLevel="0" collapsed="false">
      <c r="A144" s="13" t="s">
        <v>624</v>
      </c>
      <c r="C144" s="55" t="str">
        <f aca="false">IF(C141&lt;Inputs!$B$38,"Below","OK")</f>
        <v>OK</v>
      </c>
      <c r="D144" s="55" t="str">
        <f aca="false">IF(D141&lt;Inputs!$B$38,"Below","OK")</f>
        <v>Below</v>
      </c>
      <c r="E144" s="55" t="str">
        <f aca="false">IF(E141&lt;Inputs!$B$38,"Below","OK")</f>
        <v>OK</v>
      </c>
      <c r="F144" s="55" t="str">
        <f aca="false">IF(F141&lt;Inputs!$B$38,"Below","OK")</f>
        <v>OK</v>
      </c>
      <c r="G144" s="55" t="str">
        <f aca="false">IF(G141&lt;Inputs!$B$38,"Below","OK")</f>
        <v>OK</v>
      </c>
    </row>
    <row r="145" customFormat="false" ht="15" hidden="false" customHeight="true" outlineLevel="0" collapsed="false">
      <c r="A145" s="13" t="s">
        <v>625</v>
      </c>
      <c r="C145" s="55" t="str">
        <f aca="false">IF(C143&lt;0,"Shortfall","OK")</f>
        <v>OK</v>
      </c>
      <c r="D145" s="55" t="str">
        <f aca="false">IF(D143&lt;0,"Shortfall","OK")</f>
        <v>Shortfall</v>
      </c>
      <c r="E145" s="55" t="str">
        <f aca="false">IF(E143&lt;0,"Shortfall","OK")</f>
        <v>Shortfall</v>
      </c>
      <c r="F145" s="55" t="str">
        <f aca="false">IF(F143&lt;0,"Shortfall","OK")</f>
        <v>OK</v>
      </c>
      <c r="G145" s="55" t="str">
        <f aca="false">IF(G143&lt;0,"Shortfall","OK")</f>
        <v>OK</v>
      </c>
    </row>
    <row r="146" customFormat="false" ht="15" hidden="false" customHeight="true" outlineLevel="0" collapsed="false">
      <c r="A146" s="10" t="s">
        <v>626</v>
      </c>
      <c r="G146" s="36" t="n">
        <f aca="false">MAX(0,-MIN(C143:G143))</f>
        <v>64682.089474339</v>
      </c>
    </row>
    <row r="147" customFormat="false" ht="15" hidden="false" customHeight="true" outlineLevel="0" collapsed="false">
      <c r="A147" s="13" t="s">
        <v>627</v>
      </c>
      <c r="G147" s="34" t="n">
        <f aca="false">MAX(0,-MIN(C142:G142))</f>
        <v>59682.089474339</v>
      </c>
    </row>
    <row r="148" customFormat="false" ht="15" hidden="false" customHeight="true" outlineLevel="0" collapsed="false">
      <c r="A148" s="8" t="s">
        <v>628</v>
      </c>
      <c r="B148" s="9"/>
      <c r="C148" s="9" t="s">
        <v>614</v>
      </c>
      <c r="D148" s="9" t="s">
        <v>547</v>
      </c>
      <c r="E148" s="9" t="s">
        <v>548</v>
      </c>
      <c r="F148" s="9" t="s">
        <v>549</v>
      </c>
      <c r="G148" s="9" t="s">
        <v>550</v>
      </c>
    </row>
    <row r="149" customFormat="false" ht="15" hidden="false" customHeight="true" outlineLevel="0" collapsed="false">
      <c r="A149" s="13" t="s">
        <v>629</v>
      </c>
      <c r="G149" s="50" t="n">
        <f aca="false">IF(G146=0,"none",IFERROR(2025+MATCH(1,INDEX(--(C143:G143&lt;0),0),0),"none"))</f>
        <v>2027</v>
      </c>
    </row>
    <row r="150" customFormat="false" ht="15" hidden="false" customHeight="true" outlineLevel="0" collapsed="false">
      <c r="A150" s="13" t="s">
        <v>630</v>
      </c>
      <c r="G150" s="34" t="n">
        <f aca="false">G146</f>
        <v>64682.089474339</v>
      </c>
    </row>
    <row r="151" customFormat="false" ht="15" hidden="false" customHeight="true" outlineLevel="0" collapsed="false">
      <c r="A151" s="13" t="s">
        <v>631</v>
      </c>
      <c r="G151" s="34" t="n">
        <f aca="false">G150/(1-Inputs!$B$31)*Inputs!$B$31</f>
        <v>2000.47699405172</v>
      </c>
    </row>
    <row r="152" customFormat="false" ht="15" hidden="false" customHeight="true" outlineLevel="0" collapsed="false">
      <c r="A152" s="13" t="s">
        <v>632</v>
      </c>
      <c r="G152" s="34" t="n">
        <f aca="false">G150+G151</f>
        <v>66682.5664683907</v>
      </c>
    </row>
    <row r="153" customFormat="false" ht="15" hidden="false" customHeight="true" outlineLevel="0" collapsed="false">
      <c r="A153" s="13" t="s">
        <v>633</v>
      </c>
      <c r="C153" s="34" t="n">
        <f aca="false">IF(AND(ISNUMBER($G$149),$G$149=2026),$G$150,0)</f>
        <v>0</v>
      </c>
      <c r="D153" s="34" t="n">
        <f aca="false">IF(AND(ISNUMBER($G$149),$G$149=2027),$G$150,0)</f>
        <v>64682.089474339</v>
      </c>
      <c r="E153" s="34" t="n">
        <f aca="false">IF(AND(ISNUMBER($G$149),$G$149=2028),$G$150,0)</f>
        <v>0</v>
      </c>
      <c r="F153" s="34" t="n">
        <f aca="false">IF(AND(ISNUMBER($G$149),$G$149=2029),$G$150,0)</f>
        <v>0</v>
      </c>
      <c r="G153" s="34" t="n">
        <f aca="false">IF(AND(ISNUMBER($G$149),$G$149=2030),$G$150,0)</f>
        <v>0</v>
      </c>
    </row>
    <row r="154" customFormat="false" ht="15" hidden="false" customHeight="true" outlineLevel="0" collapsed="false">
      <c r="A154" s="13" t="s">
        <v>634</v>
      </c>
      <c r="C154" s="34" t="n">
        <f aca="false">C153*Inputs!$B$20/2</f>
        <v>0</v>
      </c>
      <c r="D154" s="34" t="n">
        <f aca="false">MAX(0,C156-D137+D153)*Inputs!$B$20-D111</f>
        <v>125</v>
      </c>
      <c r="E154" s="34" t="n">
        <f aca="false">MAX(0,D156-E137+E153)*Inputs!$B$20-E111</f>
        <v>725.823338156552</v>
      </c>
      <c r="F154" s="34" t="n">
        <f aca="false">MAX(0,E156-F137+F153)*Inputs!$B$20-F111</f>
        <v>1633.30300568429</v>
      </c>
      <c r="G154" s="34" t="n">
        <f aca="false">MAX(0,F156-G137+G153)*Inputs!$B$20-G111</f>
        <v>1664.1672059221</v>
      </c>
    </row>
    <row r="155" customFormat="false" ht="15" hidden="false" customHeight="true" outlineLevel="0" collapsed="false">
      <c r="A155" s="13" t="s">
        <v>635</v>
      </c>
      <c r="C155" s="34" t="n">
        <f aca="false">C154*C126</f>
        <v>0</v>
      </c>
      <c r="D155" s="34" t="n">
        <f aca="false">D154*D126</f>
        <v>23.598785226638</v>
      </c>
      <c r="E155" s="34" t="n">
        <f aca="false">E154*E126</f>
        <v>177.193799897483</v>
      </c>
      <c r="F155" s="34" t="n">
        <f aca="false">F154*F126</f>
        <v>398.734996171693</v>
      </c>
      <c r="G155" s="34" t="n">
        <f aca="false">G154*G126</f>
        <v>406.269811647351</v>
      </c>
    </row>
    <row r="156" customFormat="false" ht="15" hidden="false" customHeight="true" outlineLevel="0" collapsed="false">
      <c r="A156" s="13" t="s">
        <v>636</v>
      </c>
      <c r="C156" s="34" t="n">
        <f aca="false">C141+SUM($C153:C153)+SUM($C154:C154)-SUM($C155:C155)</f>
        <v>140317.910525661</v>
      </c>
      <c r="D156" s="34" t="n">
        <f aca="false">D141+SUM($C153:D153)+SUM($C154:D154)-SUM($C155:D155)</f>
        <v>29032.9335262621</v>
      </c>
      <c r="E156" s="34" t="n">
        <f aca="false">E141+SUM($C153:E153)+SUM($C154:E154)-SUM($C155:E155)</f>
        <v>134158.790119443</v>
      </c>
      <c r="F156" s="34" t="n">
        <f aca="false">F141+SUM($C153:F153)+SUM($C154:F154)-SUM($C155:F155)</f>
        <v>268741.735915218</v>
      </c>
      <c r="G156" s="34" t="n">
        <f aca="false">G141+SUM($C153:G153)+SUM($C154:G154)-SUM($C155:G155)</f>
        <v>425204.46815562</v>
      </c>
    </row>
    <row r="157" customFormat="false" ht="15" hidden="false" customHeight="true" outlineLevel="0" collapsed="false">
      <c r="A157" s="13" t="s">
        <v>637</v>
      </c>
      <c r="C157" s="34" t="n">
        <f aca="false">MIN(C136-C137+0+C153,C156)</f>
        <v>131651</v>
      </c>
      <c r="D157" s="34" t="n">
        <f aca="false">MIN(D136-D137+SUM($C153:C153)+SUM($C154:C154)-SUM($C155:C155)+D153,D156)</f>
        <v>5000</v>
      </c>
      <c r="E157" s="34" t="n">
        <f aca="false">MIN(E136-E137+SUM($C153:D153)+SUM($C154:D154)-SUM($C155:D155)+E153,E156)</f>
        <v>29032.9335262621</v>
      </c>
      <c r="F157" s="34" t="n">
        <f aca="false">MIN(F136-F137+SUM($C153:E153)+SUM($C154:E154)-SUM($C155:E155)+F153,F156)</f>
        <v>134158.790119443</v>
      </c>
      <c r="G157" s="34" t="n">
        <f aca="false">MIN(G136-G137+SUM($C153:F153)+SUM($C154:F154)-SUM($C155:F155)+G153,G156)</f>
        <v>268741.735915218</v>
      </c>
    </row>
    <row r="158" customFormat="false" ht="15" hidden="false" customHeight="true" outlineLevel="0" collapsed="false">
      <c r="A158" s="13" t="s">
        <v>638</v>
      </c>
      <c r="C158" s="55" t="str">
        <f aca="false">IF(C157-Inputs!$B$29&lt;-0.5,"No","Yes")</f>
        <v>Yes</v>
      </c>
      <c r="D158" s="55" t="str">
        <f aca="false">IF(D157-Inputs!$B$29&lt;-0.5,"No","Yes")</f>
        <v>Yes</v>
      </c>
      <c r="E158" s="55" t="str">
        <f aca="false">IF(E157-Inputs!$B$29&lt;-0.5,"No","Yes")</f>
        <v>Yes</v>
      </c>
      <c r="F158" s="55" t="str">
        <f aca="false">IF(F157-Inputs!$B$29&lt;-0.5,"No","Yes")</f>
        <v>Yes</v>
      </c>
      <c r="G158" s="55" t="str">
        <f aca="false">IF(G157-Inputs!$B$29&lt;-0.5,"No","Yes")</f>
        <v>Yes</v>
      </c>
    </row>
    <row r="161" customFormat="false" ht="15" hidden="false" customHeight="true" outlineLevel="0" collapsed="false">
      <c r="A161" s="8" t="s">
        <v>640</v>
      </c>
      <c r="B161" s="9"/>
      <c r="C161" s="9"/>
      <c r="D161" s="9"/>
      <c r="E161" s="9"/>
      <c r="F161" s="9" t="s">
        <v>125</v>
      </c>
      <c r="G161" s="9" t="s">
        <v>124</v>
      </c>
    </row>
    <row r="162" customFormat="false" ht="15" hidden="false" customHeight="true" outlineLevel="0" collapsed="false">
      <c r="A162" s="13" t="s">
        <v>641</v>
      </c>
      <c r="F162" s="16" t="n">
        <f aca="false">Inputs!$B$19+Inputs!$P$89</f>
        <v>0.12</v>
      </c>
      <c r="G162" s="16" t="n">
        <f aca="false">Inputs!$B$19+Inputs!$P$89</f>
        <v>0.12</v>
      </c>
    </row>
    <row r="163" customFormat="false" ht="15" hidden="false" customHeight="true" outlineLevel="0" collapsed="false">
      <c r="A163" s="13" t="s">
        <v>642</v>
      </c>
      <c r="F163" s="34" t="n">
        <f aca="false">G53*(1-G70)</f>
        <v>64396.1483589342</v>
      </c>
      <c r="G163" s="34" t="n">
        <f aca="false">G109*(1-G126)</f>
        <v>75462.302167493</v>
      </c>
    </row>
    <row r="164" customFormat="false" ht="15" hidden="false" customHeight="true" outlineLevel="0" collapsed="false">
      <c r="A164" s="13" t="s">
        <v>643</v>
      </c>
      <c r="F164" s="53" t="n">
        <f aca="false">Inputs!$P$87</f>
        <v>30</v>
      </c>
      <c r="G164" s="53" t="n">
        <f aca="false">Inputs!$P$87</f>
        <v>30</v>
      </c>
    </row>
    <row r="165" customFormat="false" ht="15" hidden="false" customHeight="true" outlineLevel="0" collapsed="false">
      <c r="A165" s="13" t="s">
        <v>644</v>
      </c>
      <c r="F165" s="34" t="n">
        <f aca="false">F163*F164</f>
        <v>1931884.45076802</v>
      </c>
      <c r="G165" s="34" t="n">
        <f aca="false">G163*G164</f>
        <v>2263869.06502479</v>
      </c>
    </row>
    <row r="166" customFormat="false" ht="15" hidden="false" customHeight="true" outlineLevel="0" collapsed="false">
      <c r="A166" s="13" t="s">
        <v>645</v>
      </c>
      <c r="F166" s="34" t="n">
        <f aca="false">F165*$G$21</f>
        <v>1227747.49385227</v>
      </c>
      <c r="G166" s="34" t="n">
        <f aca="false">G165*$G$21</f>
        <v>1438729.7179647</v>
      </c>
    </row>
    <row r="167" customFormat="false" ht="15" hidden="false" customHeight="true" outlineLevel="0" collapsed="false">
      <c r="A167" s="13" t="s">
        <v>646</v>
      </c>
      <c r="F167" s="34" t="n">
        <f aca="false">SUMPRODUCT(D76:G76,$D$21:$G$21)-F162*SUMPRODUCT(D81:G81,$D$21:$G$21)</f>
        <v>41404.2107196711</v>
      </c>
      <c r="G167" s="34" t="n">
        <f aca="false">SUMPRODUCT(D132:G132,$D$21:$G$21)-G162*SUMPRODUCT(D137:G137,$D$21:$G$21)</f>
        <v>53371.5152297662</v>
      </c>
    </row>
    <row r="168" customFormat="false" ht="15" hidden="false" customHeight="true" outlineLevel="0" collapsed="false">
      <c r="A168" s="13" t="s">
        <v>647</v>
      </c>
      <c r="F168" s="34" t="n">
        <f aca="false">F166+F167</f>
        <v>1269151.70457194</v>
      </c>
      <c r="G168" s="34" t="n">
        <f aca="false">G166+G167</f>
        <v>1492101.23319446</v>
      </c>
    </row>
    <row r="169" customFormat="false" ht="15" hidden="false" customHeight="true" outlineLevel="0" collapsed="false">
      <c r="A169" s="13" t="s">
        <v>648</v>
      </c>
      <c r="F169" s="34" t="n">
        <f aca="false">(G76-G74)*Inputs!$P$88*$G$21</f>
        <v>1029716.41890072</v>
      </c>
      <c r="G169" s="34" t="n">
        <f aca="false">(G132-G130)*Inputs!$P$88*$G$21</f>
        <v>1204632.78613731</v>
      </c>
    </row>
    <row r="170" customFormat="false" ht="15" hidden="false" customHeight="true" outlineLevel="0" collapsed="false">
      <c r="A170" s="13" t="s">
        <v>649</v>
      </c>
      <c r="F170" s="34" t="n">
        <f aca="false">F167+F169</f>
        <v>1071120.62962039</v>
      </c>
      <c r="G170" s="34" t="n">
        <f aca="false">G167+G169</f>
        <v>1258004.30136708</v>
      </c>
    </row>
    <row r="171" customFormat="false" ht="15" hidden="false" customHeight="true" outlineLevel="0" collapsed="false">
      <c r="A171" s="13" t="s">
        <v>650</v>
      </c>
      <c r="F171" s="34" t="n">
        <f aca="false">F168*Inputs!$B$21+F170*(1-Inputs!$B$21)</f>
        <v>1170136.16709617</v>
      </c>
      <c r="G171" s="34" t="n">
        <f aca="false">G168*Inputs!$B$21+G170*(1-Inputs!$B$21)</f>
        <v>1375052.76728077</v>
      </c>
    </row>
    <row r="172" customFormat="false" ht="15" hidden="false" customHeight="true" outlineLevel="0" collapsed="false">
      <c r="A172" s="13" t="s">
        <v>651</v>
      </c>
      <c r="F172" s="16" t="n">
        <f aca="false">IFERROR(F166/F168,0)</f>
        <v>0.967376468415463</v>
      </c>
      <c r="G172" s="16" t="n">
        <f aca="false">IFERROR(G166/G168,0)</f>
        <v>0.964230633925888</v>
      </c>
    </row>
    <row r="173" customFormat="false" ht="15" hidden="false" customHeight="true" outlineLevel="0" collapsed="false">
      <c r="A173" s="13" t="s">
        <v>652</v>
      </c>
      <c r="F173" s="16" t="n">
        <f aca="false">IFERROR(F169/F170,0)</f>
        <v>0.961344960058939</v>
      </c>
      <c r="G173" s="16" t="n">
        <f aca="false">IFERROR(G169/G170,0)</f>
        <v>0.957574457279862</v>
      </c>
    </row>
    <row r="174" customFormat="false" ht="15" hidden="false" customHeight="true" outlineLevel="0" collapsed="false">
      <c r="A174" s="13" t="s">
        <v>653</v>
      </c>
      <c r="F174" s="34" t="n">
        <f aca="false">C85</f>
        <v>140317.910525661</v>
      </c>
      <c r="G174" s="34" t="n">
        <f aca="false">C141</f>
        <v>140317.910525661</v>
      </c>
    </row>
    <row r="175" customFormat="false" ht="15" hidden="false" customHeight="true" outlineLevel="0" collapsed="false">
      <c r="A175" s="13" t="s">
        <v>654</v>
      </c>
      <c r="F175" s="34" t="n">
        <f aca="false">G46*$G$21</f>
        <v>0</v>
      </c>
      <c r="G175" s="34" t="n">
        <f aca="false">G46*$G$21</f>
        <v>0</v>
      </c>
    </row>
    <row r="176" customFormat="false" ht="15" hidden="false" customHeight="true" outlineLevel="0" collapsed="false">
      <c r="A176" s="10" t="s">
        <v>655</v>
      </c>
      <c r="F176" s="35" t="n">
        <f aca="false">F171+F174+F175</f>
        <v>1310454.07762183</v>
      </c>
      <c r="G176" s="35" t="n">
        <f aca="false">G171+G174+G175</f>
        <v>1515370.67780643</v>
      </c>
    </row>
    <row r="177" customFormat="false" ht="15" hidden="false" customHeight="true" outlineLevel="0" collapsed="false">
      <c r="A177" s="13" t="s">
        <v>656</v>
      </c>
      <c r="F177" s="34" t="n">
        <f aca="false">IF(F182="OK",F176,"unresolved")</f>
        <v>1310454.07762183</v>
      </c>
      <c r="G177" s="34" t="n">
        <f aca="false">IF(G182="OK",G176,"unresolved")</f>
        <v>1515370.67780643</v>
      </c>
    </row>
    <row r="178" customFormat="false" ht="15" hidden="false" customHeight="true" outlineLevel="0" collapsed="false">
      <c r="A178" s="13" t="s">
        <v>657</v>
      </c>
      <c r="F178" s="56" t="n">
        <f aca="false">Inputs!$B$18</f>
        <v>17902.66016</v>
      </c>
      <c r="G178" s="56" t="n">
        <f aca="false">Inputs!$B$18</f>
        <v>17902.66016</v>
      </c>
    </row>
    <row r="179" customFormat="false" ht="15" hidden="false" customHeight="true" outlineLevel="0" collapsed="false">
      <c r="A179" s="13" t="s">
        <v>658</v>
      </c>
      <c r="F179" s="25" t="n">
        <f aca="false">IF(F182="OK",F176/F178,"n/a")</f>
        <v>73.198846758527</v>
      </c>
      <c r="G179" s="25" t="n">
        <f aca="false">IF(G182="OK",G176/G178,"n/a")</f>
        <v>84.6450004783218</v>
      </c>
    </row>
    <row r="180" customFormat="false" ht="15" hidden="false" customHeight="true" outlineLevel="0" collapsed="false">
      <c r="A180" s="13" t="s">
        <v>659</v>
      </c>
      <c r="F180" s="34" t="n">
        <f aca="false">G90</f>
        <v>64682.089474339</v>
      </c>
      <c r="G180" s="34" t="n">
        <f aca="false">G146</f>
        <v>64682.089474339</v>
      </c>
    </row>
    <row r="181" customFormat="false" ht="15" hidden="false" customHeight="true" outlineLevel="0" collapsed="false">
      <c r="A181" s="13" t="s">
        <v>660</v>
      </c>
      <c r="F181" s="57" t="str">
        <f aca="false">IF(G75&lt;0,MAX(0,G85)/-G75,"cash-positive")</f>
        <v>cash-positive</v>
      </c>
      <c r="G181" s="57" t="str">
        <f aca="false">IF(G131&lt;0,MAX(0,G141)/-G131,"cash-positive")</f>
        <v>cash-positive</v>
      </c>
    </row>
    <row r="182" customFormat="false" ht="15" hidden="false" customHeight="true" outlineLevel="0" collapsed="false">
      <c r="A182" s="13" t="s">
        <v>661</v>
      </c>
      <c r="F182" s="55" t="str">
        <f aca="false">IF(OR(F163&lt;=0,G76-G74&lt;=0),"Not meaningful: 2030 earnings or cash flow negative",IF(F176&lt;=0,"Not meaningful: equity value at or below zero","OK"))</f>
        <v>OK</v>
      </c>
      <c r="G182" s="55" t="str">
        <f aca="false">IF(OR(G163&lt;=0,G132-G130&lt;=0),"Not meaningful: 2030 earnings or cash flow negative",IF(G176&lt;=0,"Not meaningful: equity value at or below zero","OK"))</f>
        <v>OK</v>
      </c>
    </row>
    <row r="183" customFormat="false" ht="15" hidden="false" customHeight="true" outlineLevel="0" collapsed="false">
      <c r="A183" s="10" t="s">
        <v>662</v>
      </c>
      <c r="F183" s="29" t="str">
        <f aca="false">IF(F182&lt;&gt;"OK",F182,IF(F180&gt;0,"Raise needed by 2030",IF(ISNUMBER(F181),"Cash-negative in 2030; runway "&amp;TEXT(F181,"0.0")&amp;" yrs","No raise needed")))</f>
        <v>Raise needed by 2030</v>
      </c>
      <c r="G183" s="29" t="str">
        <f aca="false">IF(G182&lt;&gt;"OK",G182,IF(G180&gt;0,"Raise needed by 2030",IF(ISNUMBER(G181),"Cash-negative in 2030; runway "&amp;TEXT(G181,"0.0")&amp;" yrs","No raise needed")))</f>
        <v>Raise needed by 2030</v>
      </c>
    </row>
    <row r="184" customFormat="false" ht="15" hidden="false" customHeight="true" outlineLevel="0" collapsed="false">
      <c r="A184" s="13" t="s">
        <v>663</v>
      </c>
      <c r="F184" s="25" t="n">
        <f aca="false">IF(NOT(ISNUMBER(F179)),"unresolved",IF(F180=0,F179,(F176+F180/(1+F162)^IF(ISNUMBER(G93),MAX(0,G93-2027),0))/(F178+(F180/(1-Inputs!$B$31))/(F179*(1+F162)^IF(ISNUMBER(G93),MAX(0,G93-2027),0)*(1-0)))))</f>
        <v>73.0925155461815</v>
      </c>
      <c r="G184" s="25" t="n">
        <f aca="false">IF(NOT(ISNUMBER(G179)),"unresolved",IF(G180=0,G179,(G176+G180/(1+G162)^IF(ISNUMBER(G149),MAX(0,G149-2027),0))/(G178+(G180/(1-Inputs!$B$31))/(G179*(1+G162)^IF(ISNUMBER(G149),MAX(0,G149-2027),0)*(1-0)))))</f>
        <v>84.5379684446459</v>
      </c>
    </row>
    <row r="185" customFormat="false" ht="15" hidden="false" customHeight="true" outlineLevel="0" collapsed="false">
      <c r="A185" s="13" t="s">
        <v>664</v>
      </c>
      <c r="F185" s="25" t="n">
        <f aca="false">IF(NOT(ISNUMBER(F179)),"unresolved",IF(F180=0,F179,(F176+F180/(1+F162)^IF(ISNUMBER(G93),MAX(0,G93-2027),0))/(F178+(F180/(1-Inputs!$B$31))/(F179*(1+F162)^IF(ISNUMBER(G93),MAX(0,G93-2027),0)*(1-Inputs!$B$30)))))</f>
        <v>72.4732380888854</v>
      </c>
      <c r="G185" s="25" t="n">
        <f aca="false">IF(NOT(ISNUMBER(G179)),"unresolved",IF(G180=0,G179,(G176+G180/(1+G162)^IF(ISNUMBER(G149),MAX(0,G149-2027),0))/(G178+(G180/(1-Inputs!$B$31))/(G179*(1+G162)^IF(ISNUMBER(G149),MAX(0,G149-2027),0)*(1-Inputs!$B$30)))))</f>
        <v>83.9138069562659</v>
      </c>
    </row>
    <row r="186" customFormat="false" ht="15" hidden="false" customHeight="true" outlineLevel="0" collapsed="false">
      <c r="A186" s="13" t="s">
        <v>665</v>
      </c>
      <c r="F186" s="25" t="n">
        <f aca="false">IF(NOT(ISNUMBER(F179)),"unresolved",IF(F180=0,F179,(F176+F180/(1+F162)^IF(ISNUMBER(G93),MAX(0,G93-2027),0))/(F178+(F180/(1-Inputs!$B$31))/(F179*(1+F162)^IF(ISNUMBER(G93),MAX(0,G93-2027),0)*(1-0.3)))))</f>
        <v>71.6065416309663</v>
      </c>
      <c r="G186" s="25" t="n">
        <f aca="false">IF(NOT(ISNUMBER(G179)),"unresolved",IF(G180=0,G179,(G176+G180/(1+G162)^IF(ISNUMBER(G149),MAX(0,G149-2027),0))/(G178+(G180/(1-Inputs!$B$31))/(G179*(1+G162)^IF(ISNUMBER(G149),MAX(0,G149-2027),0)*(1-0.3)))))</f>
        <v>83.0379688450438</v>
      </c>
    </row>
    <row r="187" customFormat="false" ht="15" hidden="false" customHeight="true" outlineLevel="0" collapsed="false">
      <c r="A187" s="13" t="s">
        <v>666</v>
      </c>
      <c r="F187" s="25" t="n">
        <f aca="false">F185</f>
        <v>72.4732380888854</v>
      </c>
      <c r="G187" s="25" t="n">
        <f aca="false">G185</f>
        <v>83.9138069562659</v>
      </c>
    </row>
    <row r="188" customFormat="false" ht="15" hidden="false" customHeight="true" outlineLevel="0" collapsed="false">
      <c r="A188" s="13" t="s">
        <v>667</v>
      </c>
      <c r="F188" s="50" t="n">
        <f aca="false">IF(AND(ISNUMBER(F187),Inputs!$B$24=1),IF(F187&gt;Inputs!$B$23,INT(LN(F187/Inputs!$B$23)/LN(1+Inputs!$B$26)),0),0)</f>
        <v>0</v>
      </c>
      <c r="G188" s="50" t="n">
        <f aca="false">IF(AND(ISNUMBER(G187),Inputs!$B$24=1),IF(G187&gt;Inputs!$B$23,INT(LN(G187/Inputs!$B$23)/LN(1+Inputs!$B$26)),0),0)</f>
        <v>0</v>
      </c>
    </row>
    <row r="189" customFormat="false" ht="15" hidden="false" customHeight="true" outlineLevel="0" collapsed="false">
      <c r="A189" s="10" t="s">
        <v>668</v>
      </c>
      <c r="F189" s="12" t="n">
        <f aca="false">IF(ISNUMBER(F187),F187/(1+Inputs!$B$25)^F188,"unresolved")</f>
        <v>72.4732380888854</v>
      </c>
      <c r="G189" s="12" t="n">
        <f aca="false">IF(ISNUMBER(G187),G187/(1+Inputs!$B$25)^G188,"unresolved")</f>
        <v>83.9138069562659</v>
      </c>
    </row>
    <row r="190" customFormat="false" ht="15" hidden="false" customHeight="true" outlineLevel="0" collapsed="false">
      <c r="A190" s="13" t="s">
        <v>669</v>
      </c>
      <c r="F190" s="25" t="str">
        <f aca="false">IF(F180=0,F189,"unresolved")</f>
        <v>unresolved</v>
      </c>
      <c r="G190" s="25" t="str">
        <f aca="false">IF(G180=0,G189,"unresolved")</f>
        <v>unresolved</v>
      </c>
    </row>
    <row r="191" customFormat="false" ht="15" hidden="false" customHeight="true" outlineLevel="0" collapsed="false">
      <c r="A191" s="13" t="s">
        <v>670</v>
      </c>
      <c r="F191" s="34" t="n">
        <f aca="false">IF(ISNUMBER(F179),F176+F180/(1+F162)^IF(ISNUMBER(G93),MAX(0,G93-2027),0),"unresolved")</f>
        <v>1375136.16709617</v>
      </c>
      <c r="G191" s="34" t="n">
        <f aca="false">IF(ISNUMBER(G179),G176+G180/(1+G162)^IF(ISNUMBER(G149),MAX(0,G149-2027),0),"unresolved")</f>
        <v>1580052.76728077</v>
      </c>
    </row>
    <row r="192" customFormat="false" ht="15" hidden="false" customHeight="true" outlineLevel="0" collapsed="false">
      <c r="A192" s="13" t="s">
        <v>671</v>
      </c>
      <c r="F192" s="28" t="n">
        <f aca="false">IFERROR(F191/D49,"n/a")</f>
        <v>12.6792078547629</v>
      </c>
      <c r="G192" s="28" t="n">
        <f aca="false">IFERROR(G191/D105,"n/a")</f>
        <v>14.3110081750514</v>
      </c>
    </row>
    <row r="193" customFormat="false" ht="15" hidden="false" customHeight="true" outlineLevel="0" collapsed="false">
      <c r="A193" s="13" t="s">
        <v>672</v>
      </c>
      <c r="F193" s="25" t="n">
        <f aca="false">(F168+F174)/F178</f>
        <v>78.7296190901721</v>
      </c>
      <c r="G193" s="25" t="n">
        <f aca="false">(G168+G174)/G178</f>
        <v>91.1830492860187</v>
      </c>
    </row>
    <row r="194" customFormat="false" ht="15" hidden="false" customHeight="true" outlineLevel="0" collapsed="false">
      <c r="A194" s="13" t="s">
        <v>673</v>
      </c>
      <c r="F194" s="25" t="n">
        <f aca="false">(F170+F174)/F178</f>
        <v>67.6680744268819</v>
      </c>
      <c r="G194" s="25" t="n">
        <f aca="false">(G170+G174)/G178</f>
        <v>78.1069516706249</v>
      </c>
    </row>
    <row r="196" customFormat="false" ht="15" hidden="false" customHeight="true" outlineLevel="0" collapsed="false">
      <c r="A196" s="6" t="s">
        <v>674</v>
      </c>
    </row>
    <row r="197" customFormat="false" ht="15" hidden="false" customHeight="true" outlineLevel="0" collapsed="false">
      <c r="A197" s="6" t="s">
        <v>675</v>
      </c>
    </row>
    <row r="198" customFormat="false" ht="15" hidden="false" customHeight="true" outlineLevel="0" collapsed="false">
      <c r="A198" s="6" t="s">
        <v>676</v>
      </c>
    </row>
    <row r="199" customFormat="false" ht="15" hidden="false" customHeight="true" outlineLevel="0" collapsed="false">
      <c r="A199" s="6"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4" width="62"/>
    <col collapsed="false" customWidth="true" hidden="false" outlineLevel="0" max="9" min="2" style="4" width="15"/>
  </cols>
  <sheetData>
    <row r="1" customFormat="false" ht="17.25" hidden="false" customHeight="true" outlineLevel="0" collapsed="false">
      <c r="A1" s="5" t="s">
        <v>690</v>
      </c>
    </row>
    <row r="2" customFormat="false" ht="15" hidden="false" customHeight="true" outlineLevel="0" collapsed="false">
      <c r="A2" s="6" t="s">
        <v>691</v>
      </c>
    </row>
    <row r="4" customFormat="false" ht="15" hidden="false" customHeight="true" outlineLevel="0" collapsed="false">
      <c r="A4" s="8" t="s">
        <v>692</v>
      </c>
      <c r="B4" s="9" t="s">
        <v>60</v>
      </c>
      <c r="C4" s="9" t="s">
        <v>429</v>
      </c>
      <c r="D4" s="9" t="s">
        <v>430</v>
      </c>
      <c r="E4" s="9" t="s">
        <v>431</v>
      </c>
      <c r="F4" s="9" t="s">
        <v>693</v>
      </c>
      <c r="G4" s="9" t="s">
        <v>433</v>
      </c>
      <c r="H4" s="9" t="s">
        <v>434</v>
      </c>
      <c r="I4" s="9" t="s">
        <v>438</v>
      </c>
    </row>
    <row r="5" customFormat="false" ht="15" hidden="false" customHeight="true" outlineLevel="0" collapsed="false">
      <c r="A5" s="13" t="s">
        <v>694</v>
      </c>
      <c r="B5" s="14" t="n">
        <f aca="false">IFERROR(Base!G105/1000,"unresolved")</f>
        <v>321.977055375</v>
      </c>
      <c r="C5" s="14" t="n">
        <f aca="false">IFERROR(S1!G105/1000,"unresolved")</f>
        <v>61.54878</v>
      </c>
      <c r="D5" s="14" t="n">
        <f aca="false">IFERROR(S2!G105/1000,"unresolved")</f>
        <v>321.977055375</v>
      </c>
      <c r="E5" s="14" t="n">
        <f aca="false">IFERROR(S3!G105/1000,"unresolved")</f>
        <v>155.600605188281</v>
      </c>
      <c r="F5" s="14" t="n">
        <f aca="false">IFERROR(S4!G105/1000,"unresolved")</f>
        <v>321.977055375</v>
      </c>
      <c r="G5" s="14" t="n">
        <f aca="false">IFERROR(S5!G105/1000,"unresolved")</f>
        <v>321.977055375</v>
      </c>
      <c r="H5" s="14" t="n">
        <f aca="false">IFERROR(S6!G105/1000,"unresolved")</f>
        <v>155.600605188281</v>
      </c>
      <c r="I5" s="14" t="n">
        <f aca="false">IFERROR(S7!G105/1000,"unresolved")</f>
        <v>321.977055375</v>
      </c>
    </row>
    <row r="6" customFormat="false" ht="15" hidden="false" customHeight="true" outlineLevel="0" collapsed="false">
      <c r="A6" s="13" t="s">
        <v>695</v>
      </c>
      <c r="B6" s="19" t="n">
        <f aca="false">Base!G19</f>
        <v>0.352696695936419</v>
      </c>
      <c r="C6" s="19" t="n">
        <f aca="false">S1!G19</f>
        <v>1.84504459061739</v>
      </c>
      <c r="D6" s="19" t="n">
        <f aca="false">S2!G19</f>
        <v>0.423236035123703</v>
      </c>
      <c r="E6" s="19" t="n">
        <f aca="false">S3!G19</f>
        <v>0.729818778408277</v>
      </c>
      <c r="F6" s="19" t="n">
        <f aca="false">S4!G19</f>
        <v>0.352696695936419</v>
      </c>
      <c r="G6" s="19" t="n">
        <f aca="false">S5!G19</f>
        <v>0.352696695936419</v>
      </c>
      <c r="H6" s="19" t="n">
        <f aca="false">S6!G19</f>
        <v>0.875782534089932</v>
      </c>
      <c r="I6" s="19" t="n">
        <f aca="false">S7!G19</f>
        <v>0.352696695936419</v>
      </c>
    </row>
    <row r="7" customFormat="false" ht="15" hidden="false" customHeight="true" outlineLevel="0" collapsed="false">
      <c r="A7" s="13" t="s">
        <v>696</v>
      </c>
      <c r="B7" s="19" t="n">
        <f aca="false">Base!G110</f>
        <v>0.310067942990455</v>
      </c>
      <c r="C7" s="19" t="n">
        <f aca="false">S1!G110</f>
        <v>-1.01487981552193</v>
      </c>
      <c r="D7" s="19" t="n">
        <f aca="false">S2!G110</f>
        <v>0.247918745468619</v>
      </c>
      <c r="E7" s="19" t="n">
        <f aca="false">S3!G110</f>
        <v>-0.0260750827015478</v>
      </c>
      <c r="F7" s="19" t="n">
        <f aca="false">S4!G110</f>
        <v>0.310067942990455</v>
      </c>
      <c r="G7" s="19" t="n">
        <f aca="false">S5!G110</f>
        <v>0.310067942990455</v>
      </c>
      <c r="H7" s="19" t="n">
        <f aca="false">S6!G110</f>
        <v>-0.154677510614901</v>
      </c>
      <c r="I7" s="19" t="n">
        <f aca="false">S7!G110</f>
        <v>0.310067942990455</v>
      </c>
    </row>
    <row r="8" customFormat="false" ht="15" hidden="false" customHeight="true" outlineLevel="0" collapsed="false">
      <c r="A8" s="13" t="s">
        <v>697</v>
      </c>
      <c r="B8" s="14" t="n">
        <f aca="false">MIN(Base!C141:G141)/1000</f>
        <v>140.317910525661</v>
      </c>
      <c r="C8" s="14" t="n">
        <f aca="false">MIN(S1!C141:G141)/1000</f>
        <v>12.4264836408562</v>
      </c>
      <c r="D8" s="14" t="n">
        <f aca="false">MIN(S2!C141:G141)/1000</f>
        <v>140.317910525661</v>
      </c>
      <c r="E8" s="14" t="n">
        <f aca="false">MIN(S3!C141:G141)/1000</f>
        <v>140.317910525661</v>
      </c>
      <c r="F8" s="14" t="n">
        <f aca="false">MIN(S4!C141:G141)/1000</f>
        <v>140.317910525661</v>
      </c>
      <c r="G8" s="14" t="n">
        <f aca="false">MIN(S5!C141:G141)/1000</f>
        <v>140.317910525661</v>
      </c>
      <c r="H8" s="14" t="n">
        <f aca="false">MIN(S6!C141:G141)/1000</f>
        <v>118.54042934528</v>
      </c>
      <c r="I8" s="14" t="n">
        <f aca="false">MIN(S7!C141:G141)/1000</f>
        <v>-35.7505571628503</v>
      </c>
    </row>
    <row r="9" customFormat="false" ht="15" hidden="false" customHeight="true" outlineLevel="0" collapsed="false">
      <c r="A9" s="13" t="s">
        <v>698</v>
      </c>
      <c r="B9" s="14" t="n">
        <f aca="false">IFERROR(Base!G146/1000,"unresolved")</f>
        <v>0</v>
      </c>
      <c r="C9" s="14" t="n">
        <f aca="false">IFERROR(S1!G146/1000,"unresolved")</f>
        <v>0</v>
      </c>
      <c r="D9" s="14" t="n">
        <f aca="false">IFERROR(S2!G146/1000,"unresolved")</f>
        <v>0</v>
      </c>
      <c r="E9" s="14" t="n">
        <f aca="false">IFERROR(S3!G146/1000,"unresolved")</f>
        <v>0</v>
      </c>
      <c r="F9" s="14" t="n">
        <f aca="false">IFERROR(S4!G146/1000,"unresolved")</f>
        <v>0</v>
      </c>
      <c r="G9" s="14" t="n">
        <f aca="false">IFERROR(S5!G146/1000,"unresolved")</f>
        <v>0</v>
      </c>
      <c r="H9" s="14" t="n">
        <f aca="false">IFERROR(S6!G146/1000,"unresolved")</f>
        <v>0</v>
      </c>
      <c r="I9" s="14" t="n">
        <f aca="false">IFERROR(S7!G146/1000,"unresolved")</f>
        <v>64.682089474339</v>
      </c>
    </row>
    <row r="10" customFormat="false" ht="15" hidden="false" customHeight="true" outlineLevel="0" collapsed="false">
      <c r="A10" s="13" t="s">
        <v>699</v>
      </c>
      <c r="B10" s="14" t="n">
        <f aca="false">IFERROR(Base!G177/1000,"unresolved")</f>
        <v>1572.4713129621</v>
      </c>
      <c r="C10" s="14" t="str">
        <f aca="false">IFERROR(S1!G177/1000,"unresolved")</f>
        <v>unresolved</v>
      </c>
      <c r="D10" s="14" t="n">
        <f aca="false">IFERROR(S2!G177/1000,"unresolved")</f>
        <v>1261.34456830973</v>
      </c>
      <c r="E10" s="14" t="str">
        <f aca="false">IFERROR(S3!G177/1000,"unresolved")</f>
        <v>unresolved</v>
      </c>
      <c r="F10" s="14" t="n">
        <f aca="false">IFERROR(S4!G177/1000,"unresolved")</f>
        <v>1242.05099994935</v>
      </c>
      <c r="G10" s="14" t="n">
        <f aca="false">IFERROR(S5!G177/1000,"unresolved")</f>
        <v>1476.49704209068</v>
      </c>
      <c r="H10" s="14" t="str">
        <f aca="false">IFERROR(S6!G177/1000,"unresolved")</f>
        <v>unresolved</v>
      </c>
      <c r="I10" s="14" t="n">
        <f aca="false">IFERROR(S7!G177/1000,"unresolved")</f>
        <v>1515.37067780643</v>
      </c>
    </row>
    <row r="11" customFormat="false" ht="15" hidden="false" customHeight="true" outlineLevel="0" collapsed="false">
      <c r="A11" s="13" t="s">
        <v>662</v>
      </c>
      <c r="B11" s="17" t="str">
        <f aca="false">Base!G183</f>
        <v>No raise needed</v>
      </c>
      <c r="C11" s="17" t="str">
        <f aca="false">S1!G183</f>
        <v>Not meaningful: 2030 earnings or cash flow negative</v>
      </c>
      <c r="D11" s="17" t="str">
        <f aca="false">S2!G183</f>
        <v>No raise needed</v>
      </c>
      <c r="E11" s="17" t="str">
        <f aca="false">S3!G183</f>
        <v>Not meaningful: 2030 earnings or cash flow negative</v>
      </c>
      <c r="F11" s="17" t="str">
        <f aca="false">S4!G183</f>
        <v>No raise needed</v>
      </c>
      <c r="G11" s="17" t="str">
        <f aca="false">S5!G183</f>
        <v>No raise needed</v>
      </c>
      <c r="H11" s="17" t="str">
        <f aca="false">S6!G183</f>
        <v>Not meaningful: 2030 earnings or cash flow negative</v>
      </c>
      <c r="I11" s="17" t="str">
        <f aca="false">S7!G183</f>
        <v>Raise needed by 2030</v>
      </c>
    </row>
    <row r="12" customFormat="false" ht="15" hidden="false" customHeight="true" outlineLevel="0" collapsed="false">
      <c r="A12" s="13" t="s">
        <v>700</v>
      </c>
      <c r="B12" s="11" t="n">
        <f aca="false">Base!G190</f>
        <v>87.8345060962213</v>
      </c>
      <c r="C12" s="11" t="str">
        <f aca="false">S1!G190</f>
        <v>unresolved</v>
      </c>
      <c r="D12" s="11" t="n">
        <f aca="false">S2!G190</f>
        <v>70.4557064166342</v>
      </c>
      <c r="E12" s="11" t="str">
        <f aca="false">S3!G190</f>
        <v>unresolved</v>
      </c>
      <c r="F12" s="11" t="n">
        <f aca="false">S4!G190</f>
        <v>69.3780135940058</v>
      </c>
      <c r="G12" s="11" t="n">
        <f aca="false">S5!G190</f>
        <v>82.4736116808844</v>
      </c>
      <c r="H12" s="11" t="str">
        <f aca="false">S6!G190</f>
        <v>unresolved</v>
      </c>
      <c r="I12" s="11" t="str">
        <f aca="false">S7!G190</f>
        <v>unresolved</v>
      </c>
    </row>
    <row r="13" customFormat="false" ht="15" hidden="false" customHeight="true" outlineLevel="0" collapsed="false">
      <c r="A13" s="13" t="s">
        <v>701</v>
      </c>
      <c r="B13" s="11" t="n">
        <f aca="false">Base!G184</f>
        <v>87.8345060962213</v>
      </c>
      <c r="C13" s="11" t="str">
        <f aca="false">S1!G184</f>
        <v>unresolved</v>
      </c>
      <c r="D13" s="11" t="n">
        <f aca="false">S2!G184</f>
        <v>70.4557064166342</v>
      </c>
      <c r="E13" s="11" t="str">
        <f aca="false">S3!G184</f>
        <v>unresolved</v>
      </c>
      <c r="F13" s="11" t="n">
        <f aca="false">S4!G184</f>
        <v>69.3780135940058</v>
      </c>
      <c r="G13" s="11" t="n">
        <f aca="false">S5!G184</f>
        <v>82.4736116808844</v>
      </c>
      <c r="H13" s="11" t="str">
        <f aca="false">S6!G184</f>
        <v>unresolved</v>
      </c>
      <c r="I13" s="11" t="n">
        <f aca="false">S7!G184</f>
        <v>84.5379684446459</v>
      </c>
    </row>
    <row r="14" customFormat="false" ht="15" hidden="false" customHeight="true" outlineLevel="0" collapsed="false">
      <c r="A14" s="13" t="s">
        <v>702</v>
      </c>
      <c r="B14" s="11" t="n">
        <f aca="false">Base!G185</f>
        <v>87.8345060962213</v>
      </c>
      <c r="C14" s="11" t="str">
        <f aca="false">S1!G185</f>
        <v>unresolved</v>
      </c>
      <c r="D14" s="11" t="n">
        <f aca="false">S2!G185</f>
        <v>70.4557064166342</v>
      </c>
      <c r="E14" s="11" t="str">
        <f aca="false">S3!G185</f>
        <v>unresolved</v>
      </c>
      <c r="F14" s="11" t="n">
        <f aca="false">S4!G185</f>
        <v>69.3780135940058</v>
      </c>
      <c r="G14" s="11" t="n">
        <f aca="false">S5!G185</f>
        <v>82.4736116808844</v>
      </c>
      <c r="H14" s="11" t="str">
        <f aca="false">S6!G185</f>
        <v>unresolved</v>
      </c>
      <c r="I14" s="11" t="n">
        <f aca="false">S7!G185</f>
        <v>83.9138069562659</v>
      </c>
    </row>
    <row r="15" customFormat="false" ht="15" hidden="false" customHeight="true" outlineLevel="0" collapsed="false">
      <c r="A15" s="13" t="s">
        <v>703</v>
      </c>
      <c r="B15" s="11" t="n">
        <f aca="false">Base!G186</f>
        <v>87.8345060962213</v>
      </c>
      <c r="C15" s="11" t="str">
        <f aca="false">S1!G186</f>
        <v>unresolved</v>
      </c>
      <c r="D15" s="11" t="n">
        <f aca="false">S2!G186</f>
        <v>70.4557064166342</v>
      </c>
      <c r="E15" s="11" t="str">
        <f aca="false">S3!G186</f>
        <v>unresolved</v>
      </c>
      <c r="F15" s="11" t="n">
        <f aca="false">S4!G186</f>
        <v>69.3780135940058</v>
      </c>
      <c r="G15" s="11" t="n">
        <f aca="false">S5!G186</f>
        <v>82.4736116808844</v>
      </c>
      <c r="H15" s="11" t="str">
        <f aca="false">S6!G186</f>
        <v>unresolved</v>
      </c>
      <c r="I15" s="11" t="n">
        <f aca="false">S7!G186</f>
        <v>83.0379688450438</v>
      </c>
    </row>
    <row r="16" customFormat="false" ht="15" hidden="false" customHeight="true" outlineLevel="0" collapsed="false">
      <c r="A16" s="10" t="s">
        <v>704</v>
      </c>
      <c r="B16" s="11" t="n">
        <f aca="false">Base!G189</f>
        <v>87.8345060962213</v>
      </c>
      <c r="C16" s="11" t="str">
        <f aca="false">S1!G189</f>
        <v>unresolved</v>
      </c>
      <c r="D16" s="11" t="n">
        <f aca="false">S2!G189</f>
        <v>70.4557064166342</v>
      </c>
      <c r="E16" s="11" t="str">
        <f aca="false">S3!G189</f>
        <v>unresolved</v>
      </c>
      <c r="F16" s="11" t="n">
        <f aca="false">S4!G189</f>
        <v>69.3780135940058</v>
      </c>
      <c r="G16" s="11" t="n">
        <f aca="false">S5!G189</f>
        <v>82.4736116808844</v>
      </c>
      <c r="H16" s="11" t="str">
        <f aca="false">S6!G189</f>
        <v>unresolved</v>
      </c>
      <c r="I16" s="11" t="n">
        <f aca="false">S7!G189</f>
        <v>83.9138069562659</v>
      </c>
    </row>
    <row r="17" customFormat="false" ht="15" hidden="false" customHeight="true" outlineLevel="0" collapsed="false">
      <c r="A17" s="13" t="s">
        <v>705</v>
      </c>
      <c r="B17" s="11" t="n">
        <f aca="false">Base!F189</f>
        <v>76.3880925547083</v>
      </c>
      <c r="C17" s="11" t="str">
        <f aca="false">S1!F189</f>
        <v>unresolved</v>
      </c>
      <c r="D17" s="11" t="n">
        <f aca="false">S2!F189</f>
        <v>59.0089287681235</v>
      </c>
      <c r="E17" s="11" t="str">
        <f aca="false">S3!F189</f>
        <v>unresolved</v>
      </c>
      <c r="F17" s="11" t="n">
        <f aca="false">S4!F189</f>
        <v>60.6260221935333</v>
      </c>
      <c r="G17" s="11" t="n">
        <f aca="false">S5!F189</f>
        <v>71.8018985316622</v>
      </c>
      <c r="H17" s="11" t="str">
        <f aca="false">S6!F189</f>
        <v>unresolved</v>
      </c>
      <c r="I17" s="11" t="n">
        <f aca="false">S7!F189</f>
        <v>72.4732380888854</v>
      </c>
    </row>
    <row r="18" customFormat="false" ht="15" hidden="false" customHeight="true" outlineLevel="0" collapsed="false">
      <c r="A18" s="13" t="s">
        <v>706</v>
      </c>
      <c r="B18" s="14" t="n">
        <f aca="false">IFERROR(Base!G90/1000,"unresolved")</f>
        <v>0</v>
      </c>
      <c r="C18" s="14" t="n">
        <f aca="false">IFERROR(S1!G90/1000,"unresolved")</f>
        <v>0</v>
      </c>
      <c r="D18" s="14" t="n">
        <f aca="false">IFERROR(S2!G90/1000,"unresolved")</f>
        <v>0</v>
      </c>
      <c r="E18" s="14" t="n">
        <f aca="false">IFERROR(S3!G90/1000,"unresolved")</f>
        <v>0</v>
      </c>
      <c r="F18" s="14" t="n">
        <f aca="false">IFERROR(S4!G90/1000,"unresolved")</f>
        <v>0</v>
      </c>
      <c r="G18" s="14" t="n">
        <f aca="false">IFERROR(S5!G90/1000,"unresolved")</f>
        <v>0</v>
      </c>
      <c r="H18" s="14" t="n">
        <f aca="false">IFERROR(S6!G90/1000,"unresolved")</f>
        <v>0</v>
      </c>
      <c r="I18" s="14" t="n">
        <f aca="false">IFERROR(S7!G90/1000,"unresolved")</f>
        <v>64.682089474339</v>
      </c>
    </row>
    <row r="19" customFormat="false" ht="15" hidden="false" customHeight="true" outlineLevel="0" collapsed="false">
      <c r="A19" s="13" t="s">
        <v>707</v>
      </c>
      <c r="B19" s="14" t="n">
        <f aca="false">IFERROR(Base!G147/1000,"unresolved")</f>
        <v>0</v>
      </c>
      <c r="C19" s="14" t="n">
        <f aca="false">IFERROR(S1!G147/1000,"unresolved")</f>
        <v>0</v>
      </c>
      <c r="D19" s="14" t="n">
        <f aca="false">IFERROR(S2!G147/1000,"unresolved")</f>
        <v>0</v>
      </c>
      <c r="E19" s="14" t="n">
        <f aca="false">IFERROR(S3!G147/1000,"unresolved")</f>
        <v>0</v>
      </c>
      <c r="F19" s="14" t="n">
        <f aca="false">IFERROR(S4!G147/1000,"unresolved")</f>
        <v>0</v>
      </c>
      <c r="G19" s="14" t="n">
        <f aca="false">IFERROR(S5!G147/1000,"unresolved")</f>
        <v>0</v>
      </c>
      <c r="H19" s="14" t="n">
        <f aca="false">IFERROR(S6!G147/1000,"unresolved")</f>
        <v>0</v>
      </c>
      <c r="I19" s="14" t="n">
        <f aca="false">IFERROR(S7!G147/1000,"unresolved")</f>
        <v>59.682089474339</v>
      </c>
    </row>
    <row r="20" customFormat="false" ht="15" hidden="false" customHeight="true" outlineLevel="0" collapsed="false">
      <c r="A20" s="13" t="s">
        <v>708</v>
      </c>
      <c r="B20" s="14" t="n">
        <f aca="false">MIN(Base!C157:G157)/1000</f>
        <v>131.651</v>
      </c>
      <c r="C20" s="14" t="n">
        <f aca="false">MIN(S1!C157:G157)/1000</f>
        <v>12.4264836408562</v>
      </c>
      <c r="D20" s="14" t="n">
        <f aca="false">MIN(S2!C157:G157)/1000</f>
        <v>131.651</v>
      </c>
      <c r="E20" s="14" t="n">
        <f aca="false">MIN(S3!C157:G157)/1000</f>
        <v>131.651</v>
      </c>
      <c r="F20" s="14" t="n">
        <f aca="false">MIN(S4!C157:G157)/1000</f>
        <v>131.651</v>
      </c>
      <c r="G20" s="14" t="n">
        <f aca="false">MIN(S5!C157:G157)/1000</f>
        <v>131.651</v>
      </c>
      <c r="H20" s="14" t="n">
        <f aca="false">MIN(S6!C157:G157)/1000</f>
        <v>118.54042934528</v>
      </c>
      <c r="I20" s="14" t="n">
        <f aca="false">MIN(S7!C157:G157)/1000</f>
        <v>5</v>
      </c>
    </row>
    <row r="21" customFormat="false" ht="15" hidden="false" customHeight="true" outlineLevel="0" collapsed="false">
      <c r="A21" s="13" t="s">
        <v>709</v>
      </c>
      <c r="B21" s="14" t="n">
        <f aca="false">IFERROR(Base!G156/1000,"unresolved")</f>
        <v>367.282504678359</v>
      </c>
      <c r="C21" s="14" t="n">
        <f aca="false">IFERROR(S1!G156/1000,"unresolved")</f>
        <v>12.4264836408562</v>
      </c>
      <c r="D21" s="14" t="n">
        <f aca="false">IFERROR(S2!G156/1000,"unresolved")</f>
        <v>322.175539842524</v>
      </c>
      <c r="E21" s="14" t="n">
        <f aca="false">IFERROR(S3!G156/1000,"unresolved")</f>
        <v>175.087990069313</v>
      </c>
      <c r="F21" s="14" t="n">
        <f aca="false">IFERROR(S4!G156/1000,"unresolved")</f>
        <v>367.282504678359</v>
      </c>
      <c r="G21" s="14" t="n">
        <f aca="false">IFERROR(S5!G156/1000,"unresolved")</f>
        <v>367.282504678359</v>
      </c>
      <c r="H21" s="14" t="n">
        <f aca="false">IFERROR(S6!G156/1000,"unresolved")</f>
        <v>118.54042934528</v>
      </c>
      <c r="I21" s="14" t="n">
        <f aca="false">IFERROR(S7!G156/1000,"unresolved")</f>
        <v>425.20446815562</v>
      </c>
    </row>
    <row r="22" customFormat="false" ht="15" hidden="false" customHeight="true" outlineLevel="0" collapsed="false">
      <c r="A22" s="13" t="s">
        <v>710</v>
      </c>
      <c r="B22" s="14" t="n">
        <f aca="false">IFERROR(Base!G46/1000,"unresolved")</f>
        <v>0</v>
      </c>
      <c r="C22" s="14" t="n">
        <f aca="false">IFERROR(S1!G46/1000,"unresolved")</f>
        <v>0</v>
      </c>
      <c r="D22" s="14" t="n">
        <f aca="false">IFERROR(S2!G46/1000,"unresolved")</f>
        <v>0</v>
      </c>
      <c r="E22" s="14" t="n">
        <f aca="false">IFERROR(S3!G46/1000,"unresolved")</f>
        <v>0</v>
      </c>
      <c r="F22" s="14" t="n">
        <f aca="false">IFERROR(S4!G46/1000,"unresolved")</f>
        <v>0</v>
      </c>
      <c r="G22" s="14" t="n">
        <f aca="false">IFERROR(S5!G46/1000,"unresolved")</f>
        <v>0</v>
      </c>
      <c r="H22" s="14" t="n">
        <f aca="false">IFERROR(S6!G46/1000,"unresolved")</f>
        <v>0</v>
      </c>
      <c r="I22" s="14" t="n">
        <f aca="false">IFERROR(S7!G46/1000,"unresolved")</f>
        <v>0</v>
      </c>
    </row>
    <row r="23" customFormat="false" ht="15" hidden="false" customHeight="true" outlineLevel="0" collapsed="false">
      <c r="A23" s="13" t="s">
        <v>711</v>
      </c>
      <c r="B23" s="14" t="n">
        <f aca="false">IFERROR(Base!G176/1000,"unresolved")</f>
        <v>1572.4713129621</v>
      </c>
      <c r="C23" s="14" t="n">
        <f aca="false">IFERROR(S1!G176/1000,"unresolved")</f>
        <v>-1129.54960456051</v>
      </c>
      <c r="D23" s="14" t="n">
        <f aca="false">IFERROR(S2!G176/1000,"unresolved")</f>
        <v>1261.34456830973</v>
      </c>
      <c r="E23" s="14" t="n">
        <f aca="false">IFERROR(S3!G176/1000,"unresolved")</f>
        <v>49.4206228891074</v>
      </c>
      <c r="F23" s="14" t="n">
        <f aca="false">IFERROR(S4!G176/1000,"unresolved")</f>
        <v>1242.05099994935</v>
      </c>
      <c r="G23" s="14" t="n">
        <f aca="false">IFERROR(S5!G176/1000,"unresolved")</f>
        <v>1476.49704209068</v>
      </c>
      <c r="H23" s="14" t="n">
        <f aca="false">IFERROR(S6!G176/1000,"unresolved")</f>
        <v>-235.570853737476</v>
      </c>
      <c r="I23" s="14" t="n">
        <f aca="false">IFERROR(S7!G176/1000,"unresolved")</f>
        <v>1515.37067780643</v>
      </c>
    </row>
    <row r="24" customFormat="false" ht="15" hidden="false" customHeight="true" outlineLevel="0" collapsed="false">
      <c r="A24" s="13" t="s">
        <v>712</v>
      </c>
      <c r="B24" s="14" t="n">
        <f aca="false">IFERROR(Base!G131/1000,"unresolved")</f>
        <v>89.9582477566904</v>
      </c>
      <c r="C24" s="14" t="n">
        <f aca="false">IFERROR(S1!G131/1000,"unresolved")</f>
        <v>-58.3051931404669</v>
      </c>
      <c r="D24" s="14" t="n">
        <f aca="false">IFERROR(S2!G131/1000,"unresolved")</f>
        <v>74.2767367960284</v>
      </c>
      <c r="E24" s="14" t="n">
        <f aca="false">IFERROR(S3!G131/1000,"unresolved")</f>
        <v>5.21924470223472</v>
      </c>
      <c r="F24" s="14" t="n">
        <f aca="false">IFERROR(S4!G131/1000,"unresolved")</f>
        <v>89.9582477566904</v>
      </c>
      <c r="G24" s="14" t="n">
        <f aca="false">IFERROR(S5!G131/1000,"unresolved")</f>
        <v>89.9582477566904</v>
      </c>
      <c r="H24" s="14" t="n">
        <f aca="false">IFERROR(S6!G131/1000,"unresolved")</f>
        <v>-15.6374010615557</v>
      </c>
      <c r="I24" s="14" t="n">
        <f aca="false">IFERROR(S7!G131/1000,"unresolved")</f>
        <v>155.204834846128</v>
      </c>
    </row>
    <row r="25" customFormat="false" ht="15" hidden="false" customHeight="true" outlineLevel="0" collapsed="false">
      <c r="A25" s="13" t="s">
        <v>713</v>
      </c>
      <c r="B25" s="58" t="str">
        <f aca="false">Base!G181</f>
        <v>cash-positive</v>
      </c>
      <c r="C25" s="58" t="n">
        <f aca="false">S1!G181</f>
        <v>0.213128247614561</v>
      </c>
      <c r="D25" s="58" t="str">
        <f aca="false">S2!G181</f>
        <v>cash-positive</v>
      </c>
      <c r="E25" s="58" t="str">
        <f aca="false">S3!G181</f>
        <v>cash-positive</v>
      </c>
      <c r="F25" s="58" t="str">
        <f aca="false">S4!G181</f>
        <v>cash-positive</v>
      </c>
      <c r="G25" s="58" t="str">
        <f aca="false">S5!G181</f>
        <v>cash-positive</v>
      </c>
      <c r="H25" s="58" t="n">
        <f aca="false">S6!G181</f>
        <v>7.58057102191424</v>
      </c>
      <c r="I25" s="58" t="str">
        <f aca="false">S7!G181</f>
        <v>cash-positive</v>
      </c>
    </row>
    <row r="27" customFormat="false" ht="15" hidden="false" customHeight="true" outlineLevel="0" collapsed="false">
      <c r="A27" s="10" t="s">
        <v>714</v>
      </c>
    </row>
    <row r="28" customFormat="false" ht="15" hidden="false" customHeight="true" outlineLevel="0" collapsed="false">
      <c r="A28" s="13" t="s">
        <v>715</v>
      </c>
      <c r="B28" s="14" t="n">
        <f aca="false">SUM(S1!D76:G76)/1000</f>
        <v>-161.10988161</v>
      </c>
    </row>
    <row r="29" customFormat="false" ht="15" hidden="false" customHeight="true" outlineLevel="0" collapsed="false">
      <c r="A29" s="13" t="s">
        <v>716</v>
      </c>
      <c r="B29" s="14" t="n">
        <f aca="false">SUM(S1!D132:G132)/1000</f>
        <v>-155.63393817</v>
      </c>
    </row>
    <row r="30" customFormat="false" ht="15" hidden="false" customHeight="true" outlineLevel="0" collapsed="false">
      <c r="A30" s="13" t="s">
        <v>717</v>
      </c>
      <c r="B30" s="14" t="n">
        <f aca="false">S1!C141/1000</f>
        <v>140.317910525661</v>
      </c>
    </row>
    <row r="31" customFormat="false" ht="15" hidden="false" customHeight="true" outlineLevel="0" collapsed="false">
      <c r="A31" s="13" t="s">
        <v>718</v>
      </c>
      <c r="B31" s="14" t="n">
        <f aca="false">SUM(S1!D131:G131)/1000</f>
        <v>-127.891426884805</v>
      </c>
    </row>
    <row r="32" customFormat="false" ht="15" hidden="false" customHeight="true" outlineLevel="0" collapsed="false">
      <c r="A32" s="6" t="s">
        <v>719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2026-10-27T02:11:44Z</dcterms:created>
  <dc:creator>openpyxl</dc:creator>
  <dc:description/>
  <dc:language>en-US</dc:language>
  <cp:lastModifiedBy/>
  <dcterms:modified xsi:type="dcterms:W3CDTF">2026-10-27T02:12:03Z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